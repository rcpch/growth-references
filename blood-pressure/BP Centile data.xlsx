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ate1904="1"/>
  <mc:AlternateContent xmlns:mc="http://schemas.openxmlformats.org/markup-compatibility/2006">
    <mc:Choice Requires="x15">
      <x15ac:absPath xmlns:x15ac="http://schemas.microsoft.com/office/spreadsheetml/2010/11/ac" url="/Users/timcole/Documents/People/Lisa Jackson/"/>
    </mc:Choice>
  </mc:AlternateContent>
  <xr:revisionPtr revIDLastSave="0" documentId="8_{6B9C2E75-795C-E440-A3F1-7FEC805ED2A0}" xr6:coauthVersionLast="47" xr6:coauthVersionMax="47" xr10:uidLastSave="{00000000-0000-0000-0000-000000000000}"/>
  <bookViews>
    <workbookView xWindow="0" yWindow="500" windowWidth="44800" windowHeight="24700" activeTab="7" xr2:uid="{CB2F31E1-11AB-C645-AE54-19F5D694BE08}"/>
  </bookViews>
  <sheets>
    <sheet name="Male SBP" sheetId="1" r:id="rId1"/>
    <sheet name="Female SBP" sheetId="2" r:id="rId2"/>
    <sheet name="Male DBP" sheetId="3" r:id="rId3"/>
    <sheet name="Female DBP" sheetId="5" r:id="rId4"/>
    <sheet name="Male MAP" sheetId="4" r:id="rId5"/>
    <sheet name="Female MAP" sheetId="6" r:id="rId6"/>
    <sheet name="Male PP" sheetId="7" r:id="rId7"/>
    <sheet name="Female PP" sheetId="8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3" i="1" s="1"/>
  <c r="P12" i="1"/>
  <c r="P13" i="1" s="1"/>
  <c r="E13" i="1"/>
  <c r="M13" i="1"/>
  <c r="E14" i="1"/>
  <c r="M14" i="1"/>
  <c r="P14" i="1"/>
  <c r="E15" i="1"/>
  <c r="M15" i="1"/>
  <c r="E16" i="1"/>
  <c r="M16" i="1"/>
  <c r="P16" i="1"/>
  <c r="E17" i="1"/>
  <c r="M17" i="1"/>
  <c r="E18" i="1"/>
  <c r="M18" i="1"/>
  <c r="P18" i="1"/>
  <c r="E19" i="1"/>
  <c r="M19" i="1"/>
  <c r="E20" i="1"/>
  <c r="M20" i="1"/>
  <c r="P20" i="1"/>
  <c r="E21" i="1"/>
  <c r="M21" i="1"/>
  <c r="E22" i="1"/>
  <c r="M22" i="1"/>
  <c r="P22" i="1"/>
  <c r="E23" i="1"/>
  <c r="M23" i="1"/>
  <c r="E24" i="1"/>
  <c r="M24" i="1"/>
  <c r="P24" i="1"/>
  <c r="E25" i="1"/>
  <c r="M25" i="1"/>
  <c r="E26" i="1"/>
  <c r="M26" i="1"/>
  <c r="P26" i="1"/>
  <c r="E27" i="1"/>
  <c r="M27" i="1"/>
  <c r="E28" i="1"/>
  <c r="M28" i="1"/>
  <c r="P28" i="1"/>
  <c r="E29" i="1"/>
  <c r="M29" i="1"/>
  <c r="E30" i="1"/>
  <c r="M30" i="1"/>
  <c r="P30" i="1"/>
  <c r="E31" i="1"/>
  <c r="M31" i="1"/>
  <c r="E32" i="1"/>
  <c r="M32" i="1"/>
  <c r="P32" i="1"/>
  <c r="E33" i="1"/>
  <c r="M33" i="1"/>
  <c r="E34" i="1"/>
  <c r="M34" i="1"/>
  <c r="P34" i="1"/>
  <c r="E35" i="1"/>
  <c r="M35" i="1"/>
  <c r="E36" i="1"/>
  <c r="M36" i="1"/>
  <c r="P36" i="1"/>
  <c r="E37" i="1"/>
  <c r="M37" i="1"/>
  <c r="E38" i="1"/>
  <c r="M38" i="1"/>
  <c r="P38" i="1"/>
  <c r="E39" i="1"/>
  <c r="M39" i="1"/>
  <c r="E40" i="1"/>
  <c r="M40" i="1"/>
  <c r="P40" i="1"/>
  <c r="E41" i="1"/>
  <c r="M41" i="1"/>
  <c r="E42" i="1"/>
  <c r="M42" i="1"/>
  <c r="P42" i="1"/>
  <c r="E43" i="1"/>
  <c r="M43" i="1"/>
  <c r="E44" i="1"/>
  <c r="M44" i="1"/>
  <c r="P44" i="1"/>
  <c r="E45" i="1"/>
  <c r="M45" i="1"/>
  <c r="E46" i="1"/>
  <c r="M46" i="1"/>
  <c r="P46" i="1"/>
  <c r="E47" i="1"/>
  <c r="M47" i="1"/>
  <c r="E48" i="1"/>
  <c r="M48" i="1"/>
  <c r="P48" i="1"/>
  <c r="E49" i="1"/>
  <c r="M49" i="1"/>
  <c r="E50" i="1"/>
  <c r="M50" i="1"/>
  <c r="P50" i="1"/>
  <c r="E51" i="1"/>
  <c r="M51" i="1"/>
  <c r="E52" i="1"/>
  <c r="M52" i="1"/>
  <c r="P52" i="1"/>
  <c r="E53" i="1"/>
  <c r="M53" i="1"/>
  <c r="D54" i="1"/>
  <c r="E54" i="1" s="1"/>
  <c r="E13" i="2"/>
  <c r="M13" i="2"/>
  <c r="E14" i="2"/>
  <c r="M14" i="2"/>
  <c r="E15" i="2"/>
  <c r="M15" i="2"/>
  <c r="E16" i="2"/>
  <c r="M16" i="2"/>
  <c r="E17" i="2"/>
  <c r="M17" i="2"/>
  <c r="E18" i="2"/>
  <c r="M18" i="2"/>
  <c r="E19" i="2"/>
  <c r="M19" i="2"/>
  <c r="E20" i="2"/>
  <c r="M20" i="2"/>
  <c r="E21" i="2"/>
  <c r="M21" i="2"/>
  <c r="E22" i="2"/>
  <c r="M22" i="2"/>
  <c r="E23" i="2"/>
  <c r="M23" i="2"/>
  <c r="E24" i="2"/>
  <c r="M24" i="2"/>
  <c r="E25" i="2"/>
  <c r="M25" i="2"/>
  <c r="E26" i="2"/>
  <c r="M26" i="2"/>
  <c r="E27" i="2"/>
  <c r="M27" i="2"/>
  <c r="E28" i="2"/>
  <c r="M28" i="2"/>
  <c r="E29" i="2"/>
  <c r="M29" i="2"/>
  <c r="E30" i="2"/>
  <c r="M30" i="2"/>
  <c r="E31" i="2"/>
  <c r="M31" i="2"/>
  <c r="E32" i="2"/>
  <c r="M32" i="2"/>
  <c r="E33" i="2"/>
  <c r="M33" i="2"/>
  <c r="E34" i="2"/>
  <c r="M34" i="2"/>
  <c r="E35" i="2"/>
  <c r="M35" i="2"/>
  <c r="E36" i="2"/>
  <c r="M36" i="2"/>
  <c r="E37" i="2"/>
  <c r="M37" i="2"/>
  <c r="E38" i="2"/>
  <c r="M38" i="2"/>
  <c r="E39" i="2"/>
  <c r="M39" i="2"/>
  <c r="E40" i="2"/>
  <c r="M40" i="2"/>
  <c r="E41" i="2"/>
  <c r="M41" i="2"/>
  <c r="E42" i="2"/>
  <c r="M42" i="2"/>
  <c r="E43" i="2"/>
  <c r="M43" i="2"/>
  <c r="E44" i="2"/>
  <c r="M44" i="2"/>
  <c r="E45" i="2"/>
  <c r="M45" i="2"/>
  <c r="E46" i="2"/>
  <c r="M46" i="2"/>
  <c r="E47" i="2"/>
  <c r="M47" i="2"/>
  <c r="E48" i="2"/>
  <c r="M48" i="2"/>
  <c r="E49" i="2"/>
  <c r="M49" i="2"/>
  <c r="E50" i="2"/>
  <c r="M50" i="2"/>
  <c r="E51" i="2"/>
  <c r="M51" i="2"/>
  <c r="E52" i="2"/>
  <c r="M52" i="2"/>
  <c r="E53" i="2"/>
  <c r="M53" i="2"/>
  <c r="D54" i="2"/>
  <c r="E54" i="2" s="1"/>
  <c r="O12" i="3"/>
  <c r="O13" i="3" s="1"/>
  <c r="P12" i="3"/>
  <c r="E13" i="3"/>
  <c r="M13" i="3"/>
  <c r="P13" i="3"/>
  <c r="E14" i="3"/>
  <c r="M14" i="3"/>
  <c r="O14" i="3"/>
  <c r="P14" i="3"/>
  <c r="E15" i="3"/>
  <c r="M15" i="3"/>
  <c r="P15" i="3"/>
  <c r="E16" i="3"/>
  <c r="M16" i="3"/>
  <c r="O16" i="3"/>
  <c r="P16" i="3"/>
  <c r="E17" i="3"/>
  <c r="M17" i="3"/>
  <c r="P17" i="3"/>
  <c r="E18" i="3"/>
  <c r="M18" i="3"/>
  <c r="O18" i="3"/>
  <c r="P18" i="3"/>
  <c r="E19" i="3"/>
  <c r="M19" i="3"/>
  <c r="P19" i="3"/>
  <c r="E20" i="3"/>
  <c r="M20" i="3"/>
  <c r="O20" i="3"/>
  <c r="P20" i="3"/>
  <c r="E21" i="3"/>
  <c r="M21" i="3"/>
  <c r="P21" i="3"/>
  <c r="E22" i="3"/>
  <c r="M22" i="3"/>
  <c r="O22" i="3"/>
  <c r="P22" i="3"/>
  <c r="E23" i="3"/>
  <c r="M23" i="3"/>
  <c r="P23" i="3"/>
  <c r="E24" i="3"/>
  <c r="M24" i="3"/>
  <c r="O24" i="3"/>
  <c r="P24" i="3"/>
  <c r="E25" i="3"/>
  <c r="M25" i="3"/>
  <c r="P25" i="3"/>
  <c r="E26" i="3"/>
  <c r="M26" i="3"/>
  <c r="O26" i="3"/>
  <c r="P26" i="3"/>
  <c r="E27" i="3"/>
  <c r="M27" i="3"/>
  <c r="P27" i="3"/>
  <c r="E28" i="3"/>
  <c r="M28" i="3"/>
  <c r="O28" i="3"/>
  <c r="P28" i="3"/>
  <c r="E29" i="3"/>
  <c r="M29" i="3"/>
  <c r="P29" i="3"/>
  <c r="E30" i="3"/>
  <c r="M30" i="3"/>
  <c r="O30" i="3"/>
  <c r="P30" i="3"/>
  <c r="E31" i="3"/>
  <c r="M31" i="3"/>
  <c r="P31" i="3"/>
  <c r="E32" i="3"/>
  <c r="M32" i="3"/>
  <c r="O32" i="3"/>
  <c r="P32" i="3"/>
  <c r="E33" i="3"/>
  <c r="M33" i="3"/>
  <c r="P33" i="3"/>
  <c r="E34" i="3"/>
  <c r="M34" i="3"/>
  <c r="O34" i="3"/>
  <c r="P34" i="3"/>
  <c r="E35" i="3"/>
  <c r="M35" i="3"/>
  <c r="P35" i="3"/>
  <c r="E36" i="3"/>
  <c r="M36" i="3"/>
  <c r="O36" i="3"/>
  <c r="P36" i="3"/>
  <c r="E37" i="3"/>
  <c r="M37" i="3"/>
  <c r="P37" i="3"/>
  <c r="E38" i="3"/>
  <c r="M38" i="3"/>
  <c r="O38" i="3"/>
  <c r="P38" i="3"/>
  <c r="E39" i="3"/>
  <c r="M39" i="3"/>
  <c r="P39" i="3"/>
  <c r="E40" i="3"/>
  <c r="M40" i="3"/>
  <c r="O40" i="3"/>
  <c r="P40" i="3"/>
  <c r="E41" i="3"/>
  <c r="M41" i="3"/>
  <c r="P41" i="3"/>
  <c r="E42" i="3"/>
  <c r="M42" i="3"/>
  <c r="O42" i="3"/>
  <c r="P42" i="3"/>
  <c r="E43" i="3"/>
  <c r="M43" i="3"/>
  <c r="P43" i="3"/>
  <c r="E44" i="3"/>
  <c r="M44" i="3"/>
  <c r="O44" i="3"/>
  <c r="P44" i="3"/>
  <c r="E45" i="3"/>
  <c r="M45" i="3"/>
  <c r="P45" i="3"/>
  <c r="E46" i="3"/>
  <c r="M46" i="3"/>
  <c r="O46" i="3"/>
  <c r="P46" i="3"/>
  <c r="E47" i="3"/>
  <c r="M47" i="3"/>
  <c r="P47" i="3"/>
  <c r="E48" i="3"/>
  <c r="M48" i="3"/>
  <c r="O48" i="3"/>
  <c r="P48" i="3"/>
  <c r="E49" i="3"/>
  <c r="M49" i="3"/>
  <c r="P49" i="3"/>
  <c r="E50" i="3"/>
  <c r="M50" i="3"/>
  <c r="O50" i="3"/>
  <c r="P50" i="3"/>
  <c r="E51" i="3"/>
  <c r="M51" i="3"/>
  <c r="P51" i="3"/>
  <c r="E52" i="3"/>
  <c r="M52" i="3"/>
  <c r="O52" i="3"/>
  <c r="P52" i="3"/>
  <c r="E53" i="3"/>
  <c r="M53" i="3"/>
  <c r="P53" i="3"/>
  <c r="D54" i="3"/>
  <c r="E54" i="3"/>
  <c r="G58" i="3"/>
  <c r="H58" i="3" s="1"/>
  <c r="I58" i="3"/>
  <c r="J58" i="3" s="1"/>
  <c r="E13" i="5"/>
  <c r="M13" i="5"/>
  <c r="E14" i="5"/>
  <c r="M14" i="5"/>
  <c r="E15" i="5"/>
  <c r="M15" i="5"/>
  <c r="E16" i="5"/>
  <c r="M16" i="5"/>
  <c r="E17" i="5"/>
  <c r="M17" i="5"/>
  <c r="E18" i="5"/>
  <c r="M18" i="5"/>
  <c r="E19" i="5"/>
  <c r="M19" i="5"/>
  <c r="E20" i="5"/>
  <c r="M20" i="5"/>
  <c r="E21" i="5"/>
  <c r="M21" i="5"/>
  <c r="E22" i="5"/>
  <c r="M22" i="5"/>
  <c r="E23" i="5"/>
  <c r="M23" i="5"/>
  <c r="E24" i="5"/>
  <c r="M24" i="5"/>
  <c r="E25" i="5"/>
  <c r="M25" i="5"/>
  <c r="E26" i="5"/>
  <c r="M26" i="5"/>
  <c r="E27" i="5"/>
  <c r="M27" i="5"/>
  <c r="E28" i="5"/>
  <c r="M28" i="5"/>
  <c r="E29" i="5"/>
  <c r="M29" i="5"/>
  <c r="E30" i="5"/>
  <c r="M30" i="5"/>
  <c r="E31" i="5"/>
  <c r="M31" i="5"/>
  <c r="E32" i="5"/>
  <c r="M32" i="5"/>
  <c r="E33" i="5"/>
  <c r="M33" i="5"/>
  <c r="E34" i="5"/>
  <c r="M34" i="5"/>
  <c r="E35" i="5"/>
  <c r="M35" i="5"/>
  <c r="E36" i="5"/>
  <c r="M36" i="5"/>
  <c r="E37" i="5"/>
  <c r="M37" i="5"/>
  <c r="E38" i="5"/>
  <c r="M38" i="5"/>
  <c r="E39" i="5"/>
  <c r="M39" i="5"/>
  <c r="E40" i="5"/>
  <c r="M40" i="5"/>
  <c r="E41" i="5"/>
  <c r="M41" i="5"/>
  <c r="E42" i="5"/>
  <c r="M42" i="5"/>
  <c r="E43" i="5"/>
  <c r="M43" i="5"/>
  <c r="E44" i="5"/>
  <c r="M44" i="5"/>
  <c r="E45" i="5"/>
  <c r="M45" i="5"/>
  <c r="E46" i="5"/>
  <c r="M46" i="5"/>
  <c r="E47" i="5"/>
  <c r="M47" i="5"/>
  <c r="E48" i="5"/>
  <c r="M48" i="5"/>
  <c r="E49" i="5"/>
  <c r="M49" i="5"/>
  <c r="E50" i="5"/>
  <c r="M50" i="5"/>
  <c r="E51" i="5"/>
  <c r="M51" i="5"/>
  <c r="E52" i="5"/>
  <c r="M52" i="5"/>
  <c r="E53" i="5"/>
  <c r="M53" i="5"/>
  <c r="D54" i="5"/>
  <c r="E54" i="5"/>
  <c r="E13" i="4"/>
  <c r="M13" i="4"/>
  <c r="E14" i="4"/>
  <c r="M14" i="4"/>
  <c r="E15" i="4"/>
  <c r="M15" i="4"/>
  <c r="E16" i="4"/>
  <c r="M16" i="4"/>
  <c r="E17" i="4"/>
  <c r="M17" i="4"/>
  <c r="E18" i="4"/>
  <c r="M18" i="4"/>
  <c r="E19" i="4"/>
  <c r="M19" i="4"/>
  <c r="E20" i="4"/>
  <c r="M20" i="4"/>
  <c r="E21" i="4"/>
  <c r="M21" i="4"/>
  <c r="E22" i="4"/>
  <c r="M22" i="4"/>
  <c r="E23" i="4"/>
  <c r="M23" i="4"/>
  <c r="E24" i="4"/>
  <c r="M24" i="4"/>
  <c r="E25" i="4"/>
  <c r="M25" i="4"/>
  <c r="E26" i="4"/>
  <c r="M26" i="4"/>
  <c r="E27" i="4"/>
  <c r="M27" i="4"/>
  <c r="E28" i="4"/>
  <c r="M28" i="4"/>
  <c r="E29" i="4"/>
  <c r="M29" i="4"/>
  <c r="E30" i="4"/>
  <c r="M30" i="4"/>
  <c r="E31" i="4"/>
  <c r="M31" i="4"/>
  <c r="E32" i="4"/>
  <c r="M32" i="4"/>
  <c r="E33" i="4"/>
  <c r="M33" i="4"/>
  <c r="E34" i="4"/>
  <c r="M34" i="4"/>
  <c r="E35" i="4"/>
  <c r="M35" i="4"/>
  <c r="E36" i="4"/>
  <c r="M36" i="4"/>
  <c r="E37" i="4"/>
  <c r="M37" i="4"/>
  <c r="E38" i="4"/>
  <c r="M38" i="4"/>
  <c r="E39" i="4"/>
  <c r="M39" i="4"/>
  <c r="E40" i="4"/>
  <c r="M40" i="4"/>
  <c r="E41" i="4"/>
  <c r="M41" i="4"/>
  <c r="E42" i="4"/>
  <c r="M42" i="4"/>
  <c r="E43" i="4"/>
  <c r="M43" i="4"/>
  <c r="E44" i="4"/>
  <c r="M44" i="4"/>
  <c r="E45" i="4"/>
  <c r="M45" i="4"/>
  <c r="E46" i="4"/>
  <c r="M46" i="4"/>
  <c r="E47" i="4"/>
  <c r="M47" i="4"/>
  <c r="E48" i="4"/>
  <c r="M48" i="4"/>
  <c r="E49" i="4"/>
  <c r="M49" i="4"/>
  <c r="E50" i="4"/>
  <c r="M50" i="4"/>
  <c r="E51" i="4"/>
  <c r="M51" i="4"/>
  <c r="E52" i="4"/>
  <c r="M52" i="4"/>
  <c r="E13" i="6"/>
  <c r="M13" i="6"/>
  <c r="E14" i="6"/>
  <c r="M14" i="6"/>
  <c r="E15" i="6"/>
  <c r="M15" i="6"/>
  <c r="E16" i="6"/>
  <c r="M16" i="6"/>
  <c r="E17" i="6"/>
  <c r="M17" i="6"/>
  <c r="E18" i="6"/>
  <c r="M18" i="6"/>
  <c r="E19" i="6"/>
  <c r="M19" i="6"/>
  <c r="E20" i="6"/>
  <c r="M20" i="6"/>
  <c r="E21" i="6"/>
  <c r="M21" i="6"/>
  <c r="E22" i="6"/>
  <c r="M22" i="6"/>
  <c r="E23" i="6"/>
  <c r="M23" i="6"/>
  <c r="E24" i="6"/>
  <c r="M24" i="6"/>
  <c r="E25" i="6"/>
  <c r="M25" i="6"/>
  <c r="E26" i="6"/>
  <c r="M26" i="6"/>
  <c r="E27" i="6"/>
  <c r="M27" i="6"/>
  <c r="E28" i="6"/>
  <c r="M28" i="6"/>
  <c r="E29" i="6"/>
  <c r="M29" i="6"/>
  <c r="E30" i="6"/>
  <c r="M30" i="6"/>
  <c r="E31" i="6"/>
  <c r="M31" i="6"/>
  <c r="E32" i="6"/>
  <c r="M32" i="6"/>
  <c r="E33" i="6"/>
  <c r="M33" i="6"/>
  <c r="E34" i="6"/>
  <c r="M34" i="6"/>
  <c r="E35" i="6"/>
  <c r="M35" i="6"/>
  <c r="E36" i="6"/>
  <c r="M36" i="6"/>
  <c r="E37" i="6"/>
  <c r="M37" i="6"/>
  <c r="E38" i="6"/>
  <c r="M38" i="6"/>
  <c r="E39" i="6"/>
  <c r="M39" i="6"/>
  <c r="E40" i="6"/>
  <c r="M40" i="6"/>
  <c r="E41" i="6"/>
  <c r="M41" i="6"/>
  <c r="E42" i="6"/>
  <c r="M42" i="6"/>
  <c r="E43" i="6"/>
  <c r="M43" i="6"/>
  <c r="E44" i="6"/>
  <c r="M44" i="6"/>
  <c r="E45" i="6"/>
  <c r="M45" i="6"/>
  <c r="E46" i="6"/>
  <c r="M46" i="6"/>
  <c r="E47" i="6"/>
  <c r="M47" i="6"/>
  <c r="E48" i="6"/>
  <c r="M48" i="6"/>
  <c r="E49" i="6"/>
  <c r="M49" i="6"/>
  <c r="E50" i="6"/>
  <c r="M50" i="6"/>
  <c r="E51" i="6"/>
  <c r="M51" i="6"/>
  <c r="E52" i="6"/>
  <c r="M52" i="6"/>
  <c r="E13" i="7"/>
  <c r="M13" i="7"/>
  <c r="E14" i="7"/>
  <c r="M14" i="7"/>
  <c r="E15" i="7"/>
  <c r="M15" i="7"/>
  <c r="E16" i="7"/>
  <c r="M16" i="7"/>
  <c r="E17" i="7"/>
  <c r="M17" i="7"/>
  <c r="E18" i="7"/>
  <c r="M18" i="7"/>
  <c r="E19" i="7"/>
  <c r="M19" i="7"/>
  <c r="E20" i="7"/>
  <c r="M20" i="7"/>
  <c r="E21" i="7"/>
  <c r="M21" i="7"/>
  <c r="E22" i="7"/>
  <c r="M22" i="7"/>
  <c r="E23" i="7"/>
  <c r="M23" i="7"/>
  <c r="E24" i="7"/>
  <c r="M24" i="7"/>
  <c r="E25" i="7"/>
  <c r="M25" i="7"/>
  <c r="E26" i="7"/>
  <c r="M26" i="7"/>
  <c r="E27" i="7"/>
  <c r="M27" i="7"/>
  <c r="E28" i="7"/>
  <c r="M28" i="7"/>
  <c r="E29" i="7"/>
  <c r="M29" i="7"/>
  <c r="E30" i="7"/>
  <c r="M30" i="7"/>
  <c r="E31" i="7"/>
  <c r="M31" i="7"/>
  <c r="E32" i="7"/>
  <c r="M32" i="7"/>
  <c r="E33" i="7"/>
  <c r="M33" i="7"/>
  <c r="E34" i="7"/>
  <c r="M34" i="7"/>
  <c r="E35" i="7"/>
  <c r="M35" i="7"/>
  <c r="E36" i="7"/>
  <c r="M36" i="7"/>
  <c r="E37" i="7"/>
  <c r="M37" i="7"/>
  <c r="E38" i="7"/>
  <c r="M38" i="7"/>
  <c r="E39" i="7"/>
  <c r="M39" i="7"/>
  <c r="E40" i="7"/>
  <c r="M40" i="7"/>
  <c r="E41" i="7"/>
  <c r="M41" i="7"/>
  <c r="E42" i="7"/>
  <c r="M42" i="7"/>
  <c r="E43" i="7"/>
  <c r="M43" i="7"/>
  <c r="E44" i="7"/>
  <c r="M44" i="7"/>
  <c r="E45" i="7"/>
  <c r="M45" i="7"/>
  <c r="E46" i="7"/>
  <c r="M46" i="7"/>
  <c r="E47" i="7"/>
  <c r="M47" i="7"/>
  <c r="E48" i="7"/>
  <c r="M48" i="7"/>
  <c r="E49" i="7"/>
  <c r="M49" i="7"/>
  <c r="E50" i="7"/>
  <c r="M50" i="7"/>
  <c r="E51" i="7"/>
  <c r="M51" i="7"/>
  <c r="E52" i="7"/>
  <c r="M52" i="7"/>
  <c r="E53" i="7"/>
  <c r="M53" i="7"/>
  <c r="E13" i="8"/>
  <c r="M13" i="8"/>
  <c r="E14" i="8"/>
  <c r="M14" i="8"/>
  <c r="E15" i="8"/>
  <c r="M15" i="8"/>
  <c r="E16" i="8"/>
  <c r="M16" i="8"/>
  <c r="E17" i="8"/>
  <c r="M17" i="8"/>
  <c r="E18" i="8"/>
  <c r="M18" i="8"/>
  <c r="E19" i="8"/>
  <c r="M19" i="8"/>
  <c r="E20" i="8"/>
  <c r="M20" i="8"/>
  <c r="E21" i="8"/>
  <c r="M21" i="8"/>
  <c r="E22" i="8"/>
  <c r="M22" i="8"/>
  <c r="E23" i="8"/>
  <c r="M23" i="8"/>
  <c r="E24" i="8"/>
  <c r="M24" i="8"/>
  <c r="E25" i="8"/>
  <c r="M25" i="8"/>
  <c r="E26" i="8"/>
  <c r="M26" i="8"/>
  <c r="E27" i="8"/>
  <c r="M27" i="8"/>
  <c r="E28" i="8"/>
  <c r="M28" i="8"/>
  <c r="E29" i="8"/>
  <c r="M29" i="8"/>
  <c r="E30" i="8"/>
  <c r="M30" i="8"/>
  <c r="E31" i="8"/>
  <c r="M31" i="8"/>
  <c r="E32" i="8"/>
  <c r="M32" i="8"/>
  <c r="E33" i="8"/>
  <c r="M33" i="8"/>
  <c r="E34" i="8"/>
  <c r="M34" i="8"/>
  <c r="E35" i="8"/>
  <c r="M35" i="8"/>
  <c r="E36" i="8"/>
  <c r="M36" i="8"/>
  <c r="E37" i="8"/>
  <c r="M37" i="8"/>
  <c r="E38" i="8"/>
  <c r="M38" i="8"/>
  <c r="E39" i="8"/>
  <c r="M39" i="8"/>
  <c r="E40" i="8"/>
  <c r="M40" i="8"/>
  <c r="E41" i="8"/>
  <c r="M41" i="8"/>
  <c r="E42" i="8"/>
  <c r="M42" i="8"/>
  <c r="E43" i="8"/>
  <c r="M43" i="8"/>
  <c r="E44" i="8"/>
  <c r="M44" i="8"/>
  <c r="E45" i="8"/>
  <c r="M45" i="8"/>
  <c r="E46" i="8"/>
  <c r="M46" i="8"/>
  <c r="E47" i="8"/>
  <c r="M47" i="8"/>
  <c r="E48" i="8"/>
  <c r="M48" i="8"/>
  <c r="E49" i="8"/>
  <c r="M49" i="8"/>
  <c r="E50" i="8"/>
  <c r="M50" i="8"/>
  <c r="E51" i="8"/>
  <c r="M51" i="8"/>
  <c r="E52" i="8"/>
  <c r="M52" i="8"/>
  <c r="E53" i="8"/>
  <c r="M53" i="8"/>
  <c r="O53" i="3" l="1"/>
  <c r="O51" i="3"/>
  <c r="O49" i="3"/>
  <c r="O47" i="3"/>
  <c r="O45" i="3"/>
  <c r="O43" i="3"/>
  <c r="O41" i="3"/>
  <c r="O39" i="3"/>
  <c r="O37" i="3"/>
  <c r="O35" i="3"/>
  <c r="O33" i="3"/>
  <c r="O31" i="3"/>
  <c r="O29" i="3"/>
  <c r="O27" i="3"/>
  <c r="O25" i="3"/>
  <c r="O23" i="3"/>
  <c r="O21" i="3"/>
  <c r="O19" i="3"/>
  <c r="O17" i="3"/>
  <c r="O15" i="3"/>
  <c r="O52" i="1"/>
  <c r="O50" i="1"/>
  <c r="O48" i="1"/>
  <c r="O46" i="1"/>
  <c r="O44" i="1"/>
  <c r="O42" i="1"/>
  <c r="O40" i="1"/>
  <c r="O38" i="1"/>
  <c r="O36" i="1"/>
  <c r="O34" i="1"/>
  <c r="O32" i="1"/>
  <c r="O30" i="1"/>
  <c r="O28" i="1"/>
  <c r="O26" i="1"/>
  <c r="O24" i="1"/>
  <c r="O22" i="1"/>
  <c r="O20" i="1"/>
  <c r="O18" i="1"/>
  <c r="O16" i="1"/>
  <c r="O14" i="1"/>
  <c r="P53" i="1"/>
  <c r="P51" i="1"/>
  <c r="P49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P17" i="1"/>
  <c r="P15" i="1"/>
  <c r="O53" i="1"/>
  <c r="O51" i="1"/>
  <c r="O49" i="1"/>
  <c r="O47" i="1"/>
  <c r="O45" i="1"/>
  <c r="O43" i="1"/>
  <c r="O41" i="1"/>
  <c r="O39" i="1"/>
  <c r="O37" i="1"/>
  <c r="O35" i="1"/>
  <c r="O33" i="1"/>
  <c r="O31" i="1"/>
  <c r="O29" i="1"/>
  <c r="O27" i="1"/>
  <c r="O25" i="1"/>
  <c r="O23" i="1"/>
  <c r="O21" i="1"/>
  <c r="O19" i="1"/>
  <c r="O17" i="1"/>
  <c r="O15" i="1"/>
</calcChain>
</file>

<file path=xl/sharedStrings.xml><?xml version="1.0" encoding="utf-8"?>
<sst xmlns="http://schemas.openxmlformats.org/spreadsheetml/2006/main" count="142" uniqueCount="30">
  <si>
    <t>LMS Pro version 1.15</t>
  </si>
  <si>
    <t>Data file: F:\People\Lisa Jackson\BP data all.txt</t>
  </si>
  <si>
    <t>Free format</t>
  </si>
  <si>
    <t>Age: field 3</t>
  </si>
  <si>
    <t>Measure: field 7</t>
  </si>
  <si>
    <t>Weighting: field 0</t>
  </si>
  <si>
    <t>Selector: field 2</t>
  </si>
  <si>
    <t>Count: 11377</t>
  </si>
  <si>
    <t>edf:</t>
  </si>
  <si>
    <t>L</t>
  </si>
  <si>
    <t>M</t>
  </si>
  <si>
    <t>S</t>
  </si>
  <si>
    <t xml:space="preserve">    </t>
  </si>
  <si>
    <t>Age</t>
  </si>
  <si>
    <t>Count: 11549</t>
  </si>
  <si>
    <t>Measure: field 8</t>
  </si>
  <si>
    <t>Count: 11376</t>
  </si>
  <si>
    <t>Measure: field 9</t>
  </si>
  <si>
    <t>Count: 10409</t>
  </si>
  <si>
    <t>Count: 11550</t>
  </si>
  <si>
    <t>Count: 10615</t>
  </si>
  <si>
    <t>Measure: field 11</t>
  </si>
  <si>
    <t>Count: 11375</t>
  </si>
  <si>
    <t>Count: 11547</t>
  </si>
  <si>
    <t>Centile = M x (1 + L x S x z)^(1/L)</t>
  </si>
  <si>
    <t>cm 0</t>
  </si>
  <si>
    <t xml:space="preserve">z 0 </t>
  </si>
  <si>
    <t xml:space="preserve">cent 0 </t>
  </si>
  <si>
    <t>cm 20</t>
  </si>
  <si>
    <t>in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</si>
</sst>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0000"/>
    <numFmt numFmtId="188" formatCode="0.0000"/>
    <numFmt numFmtId="191" formatCode="0.0"/>
  </numFmts>
  <fonts count="2" x14ac:knownFonts="1">
    <font>
      <sz val="9"/>
      <name val="Geneva"/>
    </font>
    <font>
      <sz val="8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" fontId="0" fillId="0" borderId="0" xfId="0" applyNumberFormat="1"/>
    <xf numFmtId="187" fontId="0" fillId="0" borderId="0" xfId="0" applyNumberFormat="1"/>
    <xf numFmtId="188" fontId="0" fillId="0" borderId="0" xfId="0" applyNumberFormat="1"/>
    <xf numFmtId="19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57399723999"/>
          <c:y val="4.6620112947922565E-2"/>
          <c:w val="0.85582332325782262"/>
          <c:h val="0.83216901612041783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'Male SBP'!$A$13:$A$53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SBP'!$O$13:$O$53</c:f>
              <c:numCache>
                <c:formatCode>0.0</c:formatCode>
                <c:ptCount val="41"/>
                <c:pt idx="0">
                  <c:v>86.173008467542445</c:v>
                </c:pt>
                <c:pt idx="1">
                  <c:v>86.625239207585764</c:v>
                </c:pt>
                <c:pt idx="2">
                  <c:v>87.075626124327584</c:v>
                </c:pt>
                <c:pt idx="3">
                  <c:v>87.522449627909239</c:v>
                </c:pt>
                <c:pt idx="4">
                  <c:v>87.966519532883282</c:v>
                </c:pt>
                <c:pt idx="5">
                  <c:v>88.403800210472568</c:v>
                </c:pt>
                <c:pt idx="6">
                  <c:v>88.832460346799863</c:v>
                </c:pt>
                <c:pt idx="7">
                  <c:v>89.253523899572372</c:v>
                </c:pt>
                <c:pt idx="8">
                  <c:v>89.674025461027213</c:v>
                </c:pt>
                <c:pt idx="9">
                  <c:v>90.101389637238256</c:v>
                </c:pt>
                <c:pt idx="10">
                  <c:v>90.542347991647731</c:v>
                </c:pt>
                <c:pt idx="11">
                  <c:v>90.999609752919582</c:v>
                </c:pt>
                <c:pt idx="12">
                  <c:v>91.477005821457013</c:v>
                </c:pt>
                <c:pt idx="13">
                  <c:v>91.98285985600188</c:v>
                </c:pt>
                <c:pt idx="14">
                  <c:v>92.540241865868495</c:v>
                </c:pt>
                <c:pt idx="15">
                  <c:v>93.179750878234302</c:v>
                </c:pt>
                <c:pt idx="16">
                  <c:v>93.91953497382589</c:v>
                </c:pt>
                <c:pt idx="17">
                  <c:v>94.767909915179416</c:v>
                </c:pt>
                <c:pt idx="18">
                  <c:v>95.728807500952627</c:v>
                </c:pt>
                <c:pt idx="19">
                  <c:v>96.782858386546209</c:v>
                </c:pt>
                <c:pt idx="20">
                  <c:v>97.891817832611991</c:v>
                </c:pt>
                <c:pt idx="21">
                  <c:v>99.022144032124913</c:v>
                </c:pt>
                <c:pt idx="22">
                  <c:v>100.14514236725351</c:v>
                </c:pt>
                <c:pt idx="23">
                  <c:v>101.23878060482697</c:v>
                </c:pt>
                <c:pt idx="24">
                  <c:v>102.2895225693632</c:v>
                </c:pt>
                <c:pt idx="25">
                  <c:v>103.28291551121389</c:v>
                </c:pt>
                <c:pt idx="26">
                  <c:v>104.19768781690979</c:v>
                </c:pt>
                <c:pt idx="27">
                  <c:v>105.02298740259729</c:v>
                </c:pt>
                <c:pt idx="28">
                  <c:v>105.75280190352626</c:v>
                </c:pt>
                <c:pt idx="29">
                  <c:v>106.38471942342991</c:v>
                </c:pt>
                <c:pt idx="30">
                  <c:v>106.92155561047466</c:v>
                </c:pt>
                <c:pt idx="31">
                  <c:v>107.37527035548864</c:v>
                </c:pt>
                <c:pt idx="32">
                  <c:v>107.76390226450594</c:v>
                </c:pt>
                <c:pt idx="33">
                  <c:v>108.10199914379807</c:v>
                </c:pt>
                <c:pt idx="34">
                  <c:v>108.39875871228919</c:v>
                </c:pt>
                <c:pt idx="35">
                  <c:v>108.66115271816858</c:v>
                </c:pt>
                <c:pt idx="36">
                  <c:v>108.89499918779035</c:v>
                </c:pt>
                <c:pt idx="37">
                  <c:v>109.10656523318643</c:v>
                </c:pt>
                <c:pt idx="38">
                  <c:v>109.30325126813796</c:v>
                </c:pt>
                <c:pt idx="39">
                  <c:v>109.49244911532759</c:v>
                </c:pt>
                <c:pt idx="40">
                  <c:v>109.67932869666433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B5-444A-B27B-733E3094FD63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'Male SBP'!$A$13:$A$53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SBP'!$P$13:$P$53</c:f>
              <c:numCache>
                <c:formatCode>0.0</c:formatCode>
                <c:ptCount val="41"/>
                <c:pt idx="0">
                  <c:v>119.29999086999987</c:v>
                </c:pt>
                <c:pt idx="1">
                  <c:v>119.97422992650505</c:v>
                </c:pt>
                <c:pt idx="2">
                  <c:v>120.64631835304198</c:v>
                </c:pt>
                <c:pt idx="3">
                  <c:v>121.31373865058204</c:v>
                </c:pt>
                <c:pt idx="4">
                  <c:v>121.97770029913778</c:v>
                </c:pt>
                <c:pt idx="5">
                  <c:v>122.63235640021846</c:v>
                </c:pt>
                <c:pt idx="6">
                  <c:v>123.27510460773932</c:v>
                </c:pt>
                <c:pt idx="7">
                  <c:v>123.90755115499819</c:v>
                </c:pt>
                <c:pt idx="8">
                  <c:v>124.54023147532101</c:v>
                </c:pt>
                <c:pt idx="9">
                  <c:v>125.18430359340107</c:v>
                </c:pt>
                <c:pt idx="10">
                  <c:v>125.85001151301245</c:v>
                </c:pt>
                <c:pt idx="11">
                  <c:v>126.54173686006871</c:v>
                </c:pt>
                <c:pt idx="12">
                  <c:v>127.26556913375811</c:v>
                </c:pt>
                <c:pt idx="13">
                  <c:v>128.03420498662305</c:v>
                </c:pt>
                <c:pt idx="14">
                  <c:v>128.88169698082478</c:v>
                </c:pt>
                <c:pt idx="15">
                  <c:v>129.85270083262006</c:v>
                </c:pt>
                <c:pt idx="16">
                  <c:v>130.97343878441836</c:v>
                </c:pt>
                <c:pt idx="17">
                  <c:v>132.25575408025512</c:v>
                </c:pt>
                <c:pt idx="18">
                  <c:v>133.7049714393047</c:v>
                </c:pt>
                <c:pt idx="19">
                  <c:v>135.29306987131619</c:v>
                </c:pt>
                <c:pt idx="20">
                  <c:v>136.96493473026374</c:v>
                </c:pt>
                <c:pt idx="21">
                  <c:v>138.67180858847829</c:v>
                </c:pt>
                <c:pt idx="22">
                  <c:v>140.37155388511925</c:v>
                </c:pt>
                <c:pt idx="23">
                  <c:v>142.03127430980103</c:v>
                </c:pt>
                <c:pt idx="24">
                  <c:v>143.63013135925416</c:v>
                </c:pt>
                <c:pt idx="25">
                  <c:v>145.1459850322677</c:v>
                </c:pt>
                <c:pt idx="26">
                  <c:v>146.54698584327457</c:v>
                </c:pt>
                <c:pt idx="27">
                  <c:v>147.81626984064616</c:v>
                </c:pt>
                <c:pt idx="28">
                  <c:v>148.94403654111503</c:v>
                </c:pt>
                <c:pt idx="29">
                  <c:v>149.92576374864979</c:v>
                </c:pt>
                <c:pt idx="30">
                  <c:v>150.76461852676968</c:v>
                </c:pt>
                <c:pt idx="31">
                  <c:v>151.47744645341723</c:v>
                </c:pt>
                <c:pt idx="32">
                  <c:v>152.09059526285591</c:v>
                </c:pt>
                <c:pt idx="33">
                  <c:v>152.62565593067632</c:v>
                </c:pt>
                <c:pt idx="34">
                  <c:v>153.09645894501313</c:v>
                </c:pt>
                <c:pt idx="35">
                  <c:v>153.51361570878598</c:v>
                </c:pt>
                <c:pt idx="36">
                  <c:v>153.8860680121077</c:v>
                </c:pt>
                <c:pt idx="37">
                  <c:v>154.22352757699895</c:v>
                </c:pt>
                <c:pt idx="38">
                  <c:v>154.53761792736978</c:v>
                </c:pt>
                <c:pt idx="39">
                  <c:v>154.83997309158514</c:v>
                </c:pt>
                <c:pt idx="40">
                  <c:v>155.13878565110366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B5-444A-B27B-733E3094FD63}"/>
            </c:ext>
          </c:extLst>
        </c:ser>
        <c:ser>
          <c:idx val="2"/>
          <c:order val="2"/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'Male SBP'!$A$13:$A$53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DBP'!$O$13:$O$53</c:f>
              <c:numCache>
                <c:formatCode>0.0</c:formatCode>
                <c:ptCount val="41"/>
                <c:pt idx="0">
                  <c:v>40.132174942015588</c:v>
                </c:pt>
                <c:pt idx="1">
                  <c:v>40.250483971540952</c:v>
                </c:pt>
                <c:pt idx="2">
                  <c:v>40.369057806156036</c:v>
                </c:pt>
                <c:pt idx="3">
                  <c:v>40.488389277555569</c:v>
                </c:pt>
                <c:pt idx="4">
                  <c:v>40.6093169351903</c:v>
                </c:pt>
                <c:pt idx="5">
                  <c:v>40.731068430881919</c:v>
                </c:pt>
                <c:pt idx="6">
                  <c:v>40.853592274751854</c:v>
                </c:pt>
                <c:pt idx="7">
                  <c:v>40.973482779118555</c:v>
                </c:pt>
                <c:pt idx="8">
                  <c:v>41.0858484055193</c:v>
                </c:pt>
                <c:pt idx="9">
                  <c:v>41.185356273675183</c:v>
                </c:pt>
                <c:pt idx="10">
                  <c:v>41.270564666986665</c:v>
                </c:pt>
                <c:pt idx="11">
                  <c:v>41.338420971225133</c:v>
                </c:pt>
                <c:pt idx="12">
                  <c:v>41.386674343128043</c:v>
                </c:pt>
                <c:pt idx="13">
                  <c:v>41.416442848629728</c:v>
                </c:pt>
                <c:pt idx="14">
                  <c:v>41.431271933653555</c:v>
                </c:pt>
                <c:pt idx="15">
                  <c:v>41.434942426424826</c:v>
                </c:pt>
                <c:pt idx="16">
                  <c:v>41.440039924401759</c:v>
                </c:pt>
                <c:pt idx="17">
                  <c:v>41.449793578539456</c:v>
                </c:pt>
                <c:pt idx="18">
                  <c:v>41.456119477904778</c:v>
                </c:pt>
                <c:pt idx="19">
                  <c:v>41.46307796720663</c:v>
                </c:pt>
                <c:pt idx="20">
                  <c:v>41.492809694223638</c:v>
                </c:pt>
                <c:pt idx="21">
                  <c:v>41.552788047043201</c:v>
                </c:pt>
                <c:pt idx="22">
                  <c:v>41.645602230986938</c:v>
                </c:pt>
                <c:pt idx="23">
                  <c:v>41.776217341486941</c:v>
                </c:pt>
                <c:pt idx="24">
                  <c:v>41.957594116545167</c:v>
                </c:pt>
                <c:pt idx="25">
                  <c:v>42.21705161458349</c:v>
                </c:pt>
                <c:pt idx="26">
                  <c:v>42.588455464297176</c:v>
                </c:pt>
                <c:pt idx="27">
                  <c:v>43.085141544231959</c:v>
                </c:pt>
                <c:pt idx="28">
                  <c:v>43.684167435643147</c:v>
                </c:pt>
                <c:pt idx="29">
                  <c:v>44.328026299881813</c:v>
                </c:pt>
                <c:pt idx="30">
                  <c:v>44.946875794536645</c:v>
                </c:pt>
                <c:pt idx="31">
                  <c:v>45.502812013294282</c:v>
                </c:pt>
                <c:pt idx="32">
                  <c:v>46.009921115787975</c:v>
                </c:pt>
                <c:pt idx="33">
                  <c:v>46.487188155810607</c:v>
                </c:pt>
                <c:pt idx="34">
                  <c:v>46.937827572923403</c:v>
                </c:pt>
                <c:pt idx="35">
                  <c:v>47.340390154859776</c:v>
                </c:pt>
                <c:pt idx="36">
                  <c:v>47.67476542619552</c:v>
                </c:pt>
                <c:pt idx="37">
                  <c:v>47.933340240601467</c:v>
                </c:pt>
                <c:pt idx="38">
                  <c:v>48.128597215778726</c:v>
                </c:pt>
                <c:pt idx="39">
                  <c:v>48.283750931258623</c:v>
                </c:pt>
                <c:pt idx="40">
                  <c:v>48.427621007638045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B5-444A-B27B-733E3094FD63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'Male SBP'!$A$13:$A$53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DBP'!$P$13:$P$53</c:f>
              <c:numCache>
                <c:formatCode>0.0</c:formatCode>
                <c:ptCount val="41"/>
                <c:pt idx="0">
                  <c:v>71.197460904636984</c:v>
                </c:pt>
                <c:pt idx="1">
                  <c:v>71.407349915548252</c:v>
                </c:pt>
                <c:pt idx="2">
                  <c:v>71.617708710368561</c:v>
                </c:pt>
                <c:pt idx="3">
                  <c:v>71.82941160915081</c:v>
                </c:pt>
                <c:pt idx="4">
                  <c:v>72.04394626094026</c:v>
                </c:pt>
                <c:pt idx="5">
                  <c:v>72.259942462668903</c:v>
                </c:pt>
                <c:pt idx="6">
                  <c:v>72.477308867465538</c:v>
                </c:pt>
                <c:pt idx="7">
                  <c:v>72.690003532277956</c:v>
                </c:pt>
                <c:pt idx="8">
                  <c:v>72.889348504342166</c:v>
                </c:pt>
                <c:pt idx="9">
                  <c:v>73.065882857712452</c:v>
                </c:pt>
                <c:pt idx="10">
                  <c:v>73.217048879995232</c:v>
                </c:pt>
                <c:pt idx="11">
                  <c:v>73.337431006683659</c:v>
                </c:pt>
                <c:pt idx="12">
                  <c:v>73.423036074550978</c:v>
                </c:pt>
                <c:pt idx="13">
                  <c:v>73.475847615657528</c:v>
                </c:pt>
                <c:pt idx="14">
                  <c:v>73.5021555145631</c:v>
                </c:pt>
                <c:pt idx="15">
                  <c:v>73.50866724152435</c:v>
                </c:pt>
                <c:pt idx="16">
                  <c:v>73.517710581773144</c:v>
                </c:pt>
                <c:pt idx="17">
                  <c:v>73.535014289089006</c:v>
                </c:pt>
                <c:pt idx="18">
                  <c:v>73.546236904693572</c:v>
                </c:pt>
                <c:pt idx="19">
                  <c:v>73.558581781858578</c:v>
                </c:pt>
                <c:pt idx="20">
                  <c:v>73.611328075200007</c:v>
                </c:pt>
                <c:pt idx="21">
                  <c:v>73.717734130594835</c:v>
                </c:pt>
                <c:pt idx="22">
                  <c:v>73.88239339070914</c:v>
                </c:pt>
                <c:pt idx="23">
                  <c:v>74.114114303837198</c:v>
                </c:pt>
                <c:pt idx="24">
                  <c:v>74.435890182415307</c:v>
                </c:pt>
                <c:pt idx="25">
                  <c:v>74.896187066391519</c:v>
                </c:pt>
                <c:pt idx="26">
                  <c:v>75.555085097909313</c:v>
                </c:pt>
                <c:pt idx="27">
                  <c:v>76.436243116609461</c:v>
                </c:pt>
                <c:pt idx="28">
                  <c:v>77.4989595665959</c:v>
                </c:pt>
                <c:pt idx="29">
                  <c:v>78.641213042291369</c:v>
                </c:pt>
                <c:pt idx="30">
                  <c:v>79.739098037689757</c:v>
                </c:pt>
                <c:pt idx="31">
                  <c:v>80.72537020603491</c:v>
                </c:pt>
                <c:pt idx="32">
                  <c:v>81.625019441376523</c:v>
                </c:pt>
                <c:pt idx="33">
                  <c:v>82.471726640081286</c:v>
                </c:pt>
                <c:pt idx="34">
                  <c:v>83.27119445682267</c:v>
                </c:pt>
                <c:pt idx="35">
                  <c:v>83.985370394969436</c:v>
                </c:pt>
                <c:pt idx="36">
                  <c:v>84.578576976541484</c:v>
                </c:pt>
                <c:pt idx="37">
                  <c:v>85.037307914154269</c:v>
                </c:pt>
                <c:pt idx="38">
                  <c:v>85.383708299297268</c:v>
                </c:pt>
                <c:pt idx="39">
                  <c:v>85.658962521328576</c:v>
                </c:pt>
                <c:pt idx="40">
                  <c:v>85.914198729014075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B5-444A-B27B-733E3094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28080"/>
        <c:axId val="1"/>
      </c:scatterChart>
      <c:valAx>
        <c:axId val="2000228080"/>
        <c:scaling>
          <c:orientation val="minMax"/>
          <c:max val="24"/>
          <c:min val="4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sz="10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GB"/>
                  <a:t>Age (years)</a:t>
                </a:r>
              </a:p>
            </c:rich>
          </c:tx>
          <c:layout>
            <c:manualLayout>
              <c:xMode val="edge"/>
              <c:yMode val="edge"/>
              <c:x val="0.46580448695674148"/>
              <c:y val="0.930071253311055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1">
                  <a:defRPr sz="10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GB"/>
                  <a:t>Blood Pressure (mm Hg)</a:t>
                </a:r>
              </a:p>
            </c:rich>
          </c:tx>
          <c:layout>
            <c:manualLayout>
              <c:xMode val="edge"/>
              <c:yMode val="edge"/>
              <c:x val="2.4029596549355711E-2"/>
              <c:y val="0.277389672040139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000228080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25930865673315"/>
          <c:y val="4.6729011945502975E-2"/>
          <c:w val="0.85555594236289345"/>
          <c:h val="0.83177641262995294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'Male DBP'!$A$13:$A$53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DBP'!$O$13:$O$53</c:f>
              <c:numCache>
                <c:formatCode>0.0</c:formatCode>
                <c:ptCount val="41"/>
                <c:pt idx="0">
                  <c:v>40.132174942015588</c:v>
                </c:pt>
                <c:pt idx="1">
                  <c:v>40.250483971540952</c:v>
                </c:pt>
                <c:pt idx="2">
                  <c:v>40.369057806156036</c:v>
                </c:pt>
                <c:pt idx="3">
                  <c:v>40.488389277555569</c:v>
                </c:pt>
                <c:pt idx="4">
                  <c:v>40.6093169351903</c:v>
                </c:pt>
                <c:pt idx="5">
                  <c:v>40.731068430881919</c:v>
                </c:pt>
                <c:pt idx="6">
                  <c:v>40.853592274751854</c:v>
                </c:pt>
                <c:pt idx="7">
                  <c:v>40.973482779118555</c:v>
                </c:pt>
                <c:pt idx="8">
                  <c:v>41.0858484055193</c:v>
                </c:pt>
                <c:pt idx="9">
                  <c:v>41.185356273675183</c:v>
                </c:pt>
                <c:pt idx="10">
                  <c:v>41.270564666986665</c:v>
                </c:pt>
                <c:pt idx="11">
                  <c:v>41.338420971225133</c:v>
                </c:pt>
                <c:pt idx="12">
                  <c:v>41.386674343128043</c:v>
                </c:pt>
                <c:pt idx="13">
                  <c:v>41.416442848629728</c:v>
                </c:pt>
                <c:pt idx="14">
                  <c:v>41.431271933653555</c:v>
                </c:pt>
                <c:pt idx="15">
                  <c:v>41.434942426424826</c:v>
                </c:pt>
                <c:pt idx="16">
                  <c:v>41.440039924401759</c:v>
                </c:pt>
                <c:pt idx="17">
                  <c:v>41.449793578539456</c:v>
                </c:pt>
                <c:pt idx="18">
                  <c:v>41.456119477904778</c:v>
                </c:pt>
                <c:pt idx="19">
                  <c:v>41.46307796720663</c:v>
                </c:pt>
                <c:pt idx="20">
                  <c:v>41.492809694223638</c:v>
                </c:pt>
                <c:pt idx="21">
                  <c:v>41.552788047043201</c:v>
                </c:pt>
                <c:pt idx="22">
                  <c:v>41.645602230986938</c:v>
                </c:pt>
                <c:pt idx="23">
                  <c:v>41.776217341486941</c:v>
                </c:pt>
                <c:pt idx="24">
                  <c:v>41.957594116545167</c:v>
                </c:pt>
                <c:pt idx="25">
                  <c:v>42.21705161458349</c:v>
                </c:pt>
                <c:pt idx="26">
                  <c:v>42.588455464297176</c:v>
                </c:pt>
                <c:pt idx="27">
                  <c:v>43.085141544231959</c:v>
                </c:pt>
                <c:pt idx="28">
                  <c:v>43.684167435643147</c:v>
                </c:pt>
                <c:pt idx="29">
                  <c:v>44.328026299881813</c:v>
                </c:pt>
                <c:pt idx="30">
                  <c:v>44.946875794536645</c:v>
                </c:pt>
                <c:pt idx="31">
                  <c:v>45.502812013294282</c:v>
                </c:pt>
                <c:pt idx="32">
                  <c:v>46.009921115787975</c:v>
                </c:pt>
                <c:pt idx="33">
                  <c:v>46.487188155810607</c:v>
                </c:pt>
                <c:pt idx="34">
                  <c:v>46.937827572923403</c:v>
                </c:pt>
                <c:pt idx="35">
                  <c:v>47.340390154859776</c:v>
                </c:pt>
                <c:pt idx="36">
                  <c:v>47.67476542619552</c:v>
                </c:pt>
                <c:pt idx="37">
                  <c:v>47.933340240601467</c:v>
                </c:pt>
                <c:pt idx="38">
                  <c:v>48.128597215778726</c:v>
                </c:pt>
                <c:pt idx="39">
                  <c:v>48.283750931258623</c:v>
                </c:pt>
                <c:pt idx="40">
                  <c:v>48.427621007638045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E-3D4C-8266-E344B61BD88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'Male DBP'!$A$13:$A$53</c:f>
              <c:numCache>
                <c:formatCode>General</c:formatCode>
                <c:ptCount val="4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  <c:pt idx="18">
                  <c:v>13</c:v>
                </c:pt>
                <c:pt idx="19">
                  <c:v>13.5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15.5</c:v>
                </c:pt>
                <c:pt idx="24">
                  <c:v>16</c:v>
                </c:pt>
                <c:pt idx="25">
                  <c:v>16.5</c:v>
                </c:pt>
                <c:pt idx="26">
                  <c:v>17</c:v>
                </c:pt>
                <c:pt idx="27">
                  <c:v>17.5</c:v>
                </c:pt>
                <c:pt idx="28">
                  <c:v>18</c:v>
                </c:pt>
                <c:pt idx="29">
                  <c:v>18.5</c:v>
                </c:pt>
                <c:pt idx="30">
                  <c:v>19</c:v>
                </c:pt>
                <c:pt idx="31">
                  <c:v>19.5</c:v>
                </c:pt>
                <c:pt idx="32">
                  <c:v>20</c:v>
                </c:pt>
                <c:pt idx="33">
                  <c:v>20.5</c:v>
                </c:pt>
                <c:pt idx="34">
                  <c:v>21</c:v>
                </c:pt>
                <c:pt idx="35">
                  <c:v>21.5</c:v>
                </c:pt>
                <c:pt idx="36">
                  <c:v>22</c:v>
                </c:pt>
                <c:pt idx="37">
                  <c:v>22.5</c:v>
                </c:pt>
                <c:pt idx="38">
                  <c:v>23</c:v>
                </c:pt>
                <c:pt idx="39">
                  <c:v>23.5</c:v>
                </c:pt>
                <c:pt idx="40">
                  <c:v>24</c:v>
                </c:pt>
              </c:numCache>
            </c:numRef>
          </c:xVal>
          <c:yVal>
            <c:numRef>
              <c:f>'Male DBP'!$P$13:$P$53</c:f>
              <c:numCache>
                <c:formatCode>0.0</c:formatCode>
                <c:ptCount val="41"/>
                <c:pt idx="0">
                  <c:v>71.197460904636984</c:v>
                </c:pt>
                <c:pt idx="1">
                  <c:v>71.407349915548252</c:v>
                </c:pt>
                <c:pt idx="2">
                  <c:v>71.617708710368561</c:v>
                </c:pt>
                <c:pt idx="3">
                  <c:v>71.82941160915081</c:v>
                </c:pt>
                <c:pt idx="4">
                  <c:v>72.04394626094026</c:v>
                </c:pt>
                <c:pt idx="5">
                  <c:v>72.259942462668903</c:v>
                </c:pt>
                <c:pt idx="6">
                  <c:v>72.477308867465538</c:v>
                </c:pt>
                <c:pt idx="7">
                  <c:v>72.690003532277956</c:v>
                </c:pt>
                <c:pt idx="8">
                  <c:v>72.889348504342166</c:v>
                </c:pt>
                <c:pt idx="9">
                  <c:v>73.065882857712452</c:v>
                </c:pt>
                <c:pt idx="10">
                  <c:v>73.217048879995232</c:v>
                </c:pt>
                <c:pt idx="11">
                  <c:v>73.337431006683659</c:v>
                </c:pt>
                <c:pt idx="12">
                  <c:v>73.423036074550978</c:v>
                </c:pt>
                <c:pt idx="13">
                  <c:v>73.475847615657528</c:v>
                </c:pt>
                <c:pt idx="14">
                  <c:v>73.5021555145631</c:v>
                </c:pt>
                <c:pt idx="15">
                  <c:v>73.50866724152435</c:v>
                </c:pt>
                <c:pt idx="16">
                  <c:v>73.517710581773144</c:v>
                </c:pt>
                <c:pt idx="17">
                  <c:v>73.535014289089006</c:v>
                </c:pt>
                <c:pt idx="18">
                  <c:v>73.546236904693572</c:v>
                </c:pt>
                <c:pt idx="19">
                  <c:v>73.558581781858578</c:v>
                </c:pt>
                <c:pt idx="20">
                  <c:v>73.611328075200007</c:v>
                </c:pt>
                <c:pt idx="21">
                  <c:v>73.717734130594835</c:v>
                </c:pt>
                <c:pt idx="22">
                  <c:v>73.88239339070914</c:v>
                </c:pt>
                <c:pt idx="23">
                  <c:v>74.114114303837198</c:v>
                </c:pt>
                <c:pt idx="24">
                  <c:v>74.435890182415307</c:v>
                </c:pt>
                <c:pt idx="25">
                  <c:v>74.896187066391519</c:v>
                </c:pt>
                <c:pt idx="26">
                  <c:v>75.555085097909313</c:v>
                </c:pt>
                <c:pt idx="27">
                  <c:v>76.436243116609461</c:v>
                </c:pt>
                <c:pt idx="28">
                  <c:v>77.4989595665959</c:v>
                </c:pt>
                <c:pt idx="29">
                  <c:v>78.641213042291369</c:v>
                </c:pt>
                <c:pt idx="30">
                  <c:v>79.739098037689757</c:v>
                </c:pt>
                <c:pt idx="31">
                  <c:v>80.72537020603491</c:v>
                </c:pt>
                <c:pt idx="32">
                  <c:v>81.625019441376523</c:v>
                </c:pt>
                <c:pt idx="33">
                  <c:v>82.471726640081286</c:v>
                </c:pt>
                <c:pt idx="34">
                  <c:v>83.27119445682267</c:v>
                </c:pt>
                <c:pt idx="35">
                  <c:v>83.985370394969436</c:v>
                </c:pt>
                <c:pt idx="36">
                  <c:v>84.578576976541484</c:v>
                </c:pt>
                <c:pt idx="37">
                  <c:v>85.037307914154269</c:v>
                </c:pt>
                <c:pt idx="38">
                  <c:v>85.383708299297268</c:v>
                </c:pt>
                <c:pt idx="39">
                  <c:v>85.658962521328576</c:v>
                </c:pt>
                <c:pt idx="40">
                  <c:v>85.914198729014075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E-3D4C-8266-E344B61BD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219056"/>
        <c:axId val="1"/>
      </c:scatterChart>
      <c:valAx>
        <c:axId val="253219056"/>
        <c:scaling>
          <c:orientation val="minMax"/>
          <c:max val="24"/>
          <c:min val="4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sz="10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GB"/>
                  <a:t>Age (years)</a:t>
                </a:r>
              </a:p>
            </c:rich>
          </c:tx>
          <c:layout>
            <c:manualLayout>
              <c:xMode val="edge"/>
              <c:yMode val="edge"/>
              <c:x val="0.46666687765248738"/>
              <c:y val="0.929907337715509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1">
                  <a:defRPr sz="10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GB"/>
                  <a:t>Systolic Blood Pressure (mm Hg)</a:t>
                </a:r>
              </a:p>
            </c:rich>
          </c:tx>
          <c:layout>
            <c:manualLayout>
              <c:xMode val="edge"/>
              <c:yMode val="edge"/>
              <c:x val="2.4074084958263239E-2"/>
              <c:y val="0.214953454949313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53219056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28</xdr:row>
      <xdr:rowOff>0</xdr:rowOff>
    </xdr:from>
    <xdr:to>
      <xdr:col>11</xdr:col>
      <xdr:colOff>787400</xdr:colOff>
      <xdr:row>61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6FD381-A564-7C89-2B80-D23EB7DD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21</xdr:row>
      <xdr:rowOff>76200</xdr:rowOff>
    </xdr:from>
    <xdr:to>
      <xdr:col>12</xdr:col>
      <xdr:colOff>254000</xdr:colOff>
      <xdr:row>54</xdr:row>
      <xdr:rowOff>63500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3FFAD5E-AD6D-C3D9-EF9A-18E575CC0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MSMACR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SMACRO.XLA"/>
      <sheetName val="LMSMACRO"/>
    </sheetNames>
    <definedNames>
      <definedName name="CENTILE" refersTo="='LMSMACRO.XLA'!$A$45"/>
      <definedName name="SDS" refersTo="='LMSMACRO.XLA'!$A$1"/>
    </definedNames>
    <sheetDataSet>
      <sheetData sheetId="0">
        <row r="1">
          <cell r="A1" t="str">
            <v>SDS calculated for British growth reference</v>
          </cell>
        </row>
        <row r="45">
          <cell r="A45" t="str">
            <v>CENTILE calculated for British growth reference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2BF7-C808-AA4D-95A3-A68C8BB2A65B}">
  <dimension ref="A1:P54"/>
  <sheetViews>
    <sheetView topLeftCell="A6" workbookViewId="0">
      <selection activeCell="H19" sqref="H19"/>
    </sheetView>
  </sheetViews>
  <sheetFormatPr baseColWidth="10" defaultColWidth="11.5" defaultRowHeight="13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A3" t="s">
        <v>2</v>
      </c>
      <c r="F3" t="s">
        <v>24</v>
      </c>
    </row>
    <row r="4" spans="1:16" x14ac:dyDescent="0.2">
      <c r="A4" t="s">
        <v>3</v>
      </c>
    </row>
    <row r="5" spans="1:16" x14ac:dyDescent="0.2">
      <c r="A5" t="s">
        <v>4</v>
      </c>
    </row>
    <row r="6" spans="1:16" x14ac:dyDescent="0.2">
      <c r="A6" t="s">
        <v>5</v>
      </c>
    </row>
    <row r="7" spans="1:16" x14ac:dyDescent="0.2">
      <c r="A7" t="s">
        <v>6</v>
      </c>
    </row>
    <row r="8" spans="1:16" x14ac:dyDescent="0.2">
      <c r="A8" t="s">
        <v>7</v>
      </c>
    </row>
    <row r="9" spans="1:16" x14ac:dyDescent="0.2">
      <c r="A9" t="s">
        <v>8</v>
      </c>
      <c r="B9" t="s">
        <v>9</v>
      </c>
      <c r="C9" t="s">
        <v>10</v>
      </c>
      <c r="D9" t="s">
        <v>11</v>
      </c>
    </row>
    <row r="10" spans="1:16" x14ac:dyDescent="0.2">
      <c r="A10" t="s">
        <v>12</v>
      </c>
      <c r="B10">
        <v>0</v>
      </c>
      <c r="C10">
        <v>5</v>
      </c>
      <c r="D10">
        <v>2</v>
      </c>
    </row>
    <row r="12" spans="1:16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  <c r="O12" s="2">
        <f>NORMSINV(0.025)</f>
        <v>-1.9599639845400538</v>
      </c>
      <c r="P12" s="2">
        <f>NORMSINV(1-0.025)</f>
        <v>1.9599639845400536</v>
      </c>
    </row>
    <row r="13" spans="1:16" x14ac:dyDescent="0.2">
      <c r="A13">
        <v>4</v>
      </c>
      <c r="B13">
        <v>0.5</v>
      </c>
      <c r="C13">
        <v>102.0645</v>
      </c>
      <c r="D13" s="1">
        <v>8.279976E-2</v>
      </c>
      <c r="E13" s="2">
        <f>C13*(1+(B13*D13*-2.667))^(1/B13)</f>
        <v>80.77018900635457</v>
      </c>
      <c r="F13">
        <v>85.861649999999997</v>
      </c>
      <c r="G13">
        <v>91.107089999999999</v>
      </c>
      <c r="H13">
        <v>96.508049999999997</v>
      </c>
      <c r="I13">
        <v>102.0645</v>
      </c>
      <c r="J13">
        <v>107.7765</v>
      </c>
      <c r="K13">
        <v>113.64400000000001</v>
      </c>
      <c r="L13">
        <v>119.667</v>
      </c>
      <c r="M13" s="4">
        <f>C13*(1+(B13*D13*2.667))^(1/B13)</f>
        <v>125.84737550786426</v>
      </c>
      <c r="O13" s="5">
        <f>$C13*(1+($B13*$D13*O$12))^(1/$B13)</f>
        <v>86.173008467542445</v>
      </c>
      <c r="P13" s="5">
        <f>$C13*(1+($B13*$D13*P$12))^(1/$B13)</f>
        <v>119.29999086999987</v>
      </c>
    </row>
    <row r="14" spans="1:16" x14ac:dyDescent="0.2">
      <c r="A14">
        <v>4.5</v>
      </c>
      <c r="B14">
        <v>0.5</v>
      </c>
      <c r="C14">
        <v>102.6224</v>
      </c>
      <c r="D14" s="1">
        <v>8.2901509999999998E-2</v>
      </c>
      <c r="E14" s="2">
        <f t="shared" ref="E14:E53" si="0">C14*(1+(B14*D14*-2.667))^(1/B14)</f>
        <v>81.186919445477542</v>
      </c>
      <c r="F14">
        <v>86.311800000000005</v>
      </c>
      <c r="G14">
        <v>91.591920000000002</v>
      </c>
      <c r="H14">
        <v>97.028779999999998</v>
      </c>
      <c r="I14">
        <v>102.6224</v>
      </c>
      <c r="J14">
        <v>108.37269999999999</v>
      </c>
      <c r="K14">
        <v>114.2799</v>
      </c>
      <c r="L14">
        <v>120.3437</v>
      </c>
      <c r="M14" s="4">
        <f t="shared" ref="M14:M53" si="1">C14*(1+(B14*D14*2.667))^(1/B14)</f>
        <v>126.56620138581877</v>
      </c>
      <c r="O14" s="5">
        <f t="shared" ref="O14:P53" si="2">$C14*(1+($B14*$D14*O$12))^(1/$B14)</f>
        <v>86.625239207585764</v>
      </c>
      <c r="P14" s="5">
        <f t="shared" si="2"/>
        <v>119.97422992650505</v>
      </c>
    </row>
    <row r="15" spans="1:16" x14ac:dyDescent="0.2">
      <c r="A15">
        <v>5</v>
      </c>
      <c r="B15">
        <v>0.5</v>
      </c>
      <c r="C15">
        <v>103.17829999999999</v>
      </c>
      <c r="D15" s="1">
        <v>8.3003010000000002E-2</v>
      </c>
      <c r="E15" s="2">
        <f t="shared" si="0"/>
        <v>81.601863761737931</v>
      </c>
      <c r="F15">
        <v>86.760149999999996</v>
      </c>
      <c r="G15">
        <v>92.074879999999993</v>
      </c>
      <c r="H15">
        <v>97.547610000000006</v>
      </c>
      <c r="I15">
        <v>103.17829999999999</v>
      </c>
      <c r="J15">
        <v>108.967</v>
      </c>
      <c r="K15">
        <v>114.91370000000001</v>
      </c>
      <c r="L15">
        <v>121.0183</v>
      </c>
      <c r="M15" s="4">
        <f t="shared" si="1"/>
        <v>127.28282365702503</v>
      </c>
      <c r="O15" s="5">
        <f t="shared" si="2"/>
        <v>87.075626124327584</v>
      </c>
      <c r="P15" s="5">
        <f t="shared" si="2"/>
        <v>120.64631835304198</v>
      </c>
    </row>
    <row r="16" spans="1:16" x14ac:dyDescent="0.2">
      <c r="A16">
        <v>5.5</v>
      </c>
      <c r="B16">
        <v>0.5</v>
      </c>
      <c r="C16">
        <v>103.73009999999999</v>
      </c>
      <c r="D16" s="1">
        <v>8.3103990000000003E-2</v>
      </c>
      <c r="E16" s="2">
        <f t="shared" si="0"/>
        <v>82.013430491210713</v>
      </c>
      <c r="F16">
        <v>87.20496</v>
      </c>
      <c r="G16">
        <v>92.554130000000001</v>
      </c>
      <c r="H16">
        <v>98.062529999999995</v>
      </c>
      <c r="I16">
        <v>103.73009999999999</v>
      </c>
      <c r="J16">
        <v>109.557</v>
      </c>
      <c r="K16">
        <v>115.54300000000001</v>
      </c>
      <c r="L16">
        <v>121.68819999999999</v>
      </c>
      <c r="M16" s="4">
        <f t="shared" si="1"/>
        <v>127.99456511120076</v>
      </c>
      <c r="O16" s="5">
        <f t="shared" si="2"/>
        <v>87.522449627909239</v>
      </c>
      <c r="P16" s="5">
        <f t="shared" si="2"/>
        <v>121.31373865058204</v>
      </c>
    </row>
    <row r="17" spans="1:16" x14ac:dyDescent="0.2">
      <c r="A17">
        <v>6</v>
      </c>
      <c r="B17">
        <v>0.5</v>
      </c>
      <c r="C17">
        <v>104.2788</v>
      </c>
      <c r="D17" s="1">
        <v>8.3204650000000005E-2</v>
      </c>
      <c r="E17" s="2">
        <f t="shared" si="0"/>
        <v>82.422365576667403</v>
      </c>
      <c r="F17">
        <v>87.646940000000001</v>
      </c>
      <c r="G17">
        <v>93.030439999999999</v>
      </c>
      <c r="H17">
        <v>98.574389999999994</v>
      </c>
      <c r="I17">
        <v>104.2788</v>
      </c>
      <c r="J17">
        <v>110.14360000000001</v>
      </c>
      <c r="K17">
        <v>116.16889999999999</v>
      </c>
      <c r="L17">
        <v>122.3546</v>
      </c>
      <c r="M17" s="4">
        <f t="shared" si="1"/>
        <v>128.70271553161169</v>
      </c>
      <c r="O17" s="5">
        <f t="shared" si="2"/>
        <v>87.966519532883282</v>
      </c>
      <c r="P17" s="5">
        <f t="shared" si="2"/>
        <v>121.97770029913778</v>
      </c>
    </row>
    <row r="18" spans="1:16" x14ac:dyDescent="0.2">
      <c r="A18">
        <v>6.5</v>
      </c>
      <c r="B18">
        <v>0.5</v>
      </c>
      <c r="C18">
        <v>104.81950000000001</v>
      </c>
      <c r="D18" s="1">
        <v>8.3304489999999995E-2</v>
      </c>
      <c r="E18" s="2">
        <f t="shared" si="0"/>
        <v>82.824924946824041</v>
      </c>
      <c r="F18">
        <v>88.082279999999997</v>
      </c>
      <c r="G18">
        <v>93.499709999999993</v>
      </c>
      <c r="H18">
        <v>99.078800000000001</v>
      </c>
      <c r="I18">
        <v>104.81950000000001</v>
      </c>
      <c r="J18">
        <v>110.72199999999999</v>
      </c>
      <c r="K18">
        <v>116.786</v>
      </c>
      <c r="L18">
        <v>123.01179999999999</v>
      </c>
      <c r="M18" s="4">
        <f t="shared" si="1"/>
        <v>129.40106618111042</v>
      </c>
      <c r="O18" s="5">
        <f t="shared" si="2"/>
        <v>88.403800210472568</v>
      </c>
      <c r="P18" s="5">
        <f t="shared" si="2"/>
        <v>122.63235640021846</v>
      </c>
    </row>
    <row r="19" spans="1:16" x14ac:dyDescent="0.2">
      <c r="A19">
        <v>7</v>
      </c>
      <c r="B19">
        <v>0.5</v>
      </c>
      <c r="C19">
        <v>105.35</v>
      </c>
      <c r="D19" s="1">
        <v>8.3403420000000006E-2</v>
      </c>
      <c r="E19" s="2">
        <f t="shared" si="0"/>
        <v>83.219402026004914</v>
      </c>
      <c r="F19">
        <v>88.508960000000002</v>
      </c>
      <c r="G19">
        <v>93.959779999999995</v>
      </c>
      <c r="H19">
        <v>99.573480000000004</v>
      </c>
      <c r="I19">
        <v>105.35</v>
      </c>
      <c r="J19">
        <v>111.2895</v>
      </c>
      <c r="K19">
        <v>117.3918</v>
      </c>
      <c r="L19">
        <v>123.65689999999999</v>
      </c>
      <c r="M19" s="4">
        <f t="shared" si="1"/>
        <v>130.08686131020289</v>
      </c>
      <c r="O19" s="5">
        <f t="shared" si="2"/>
        <v>88.832460346799863</v>
      </c>
      <c r="P19" s="5">
        <f t="shared" si="2"/>
        <v>123.27510460773932</v>
      </c>
    </row>
    <row r="20" spans="1:16" x14ac:dyDescent="0.2">
      <c r="A20">
        <v>7.5</v>
      </c>
      <c r="B20">
        <v>0.5</v>
      </c>
      <c r="C20">
        <v>105.8716</v>
      </c>
      <c r="D20" s="1">
        <v>8.3501859999999997E-2</v>
      </c>
      <c r="E20" s="2">
        <f t="shared" si="0"/>
        <v>83.606728602577945</v>
      </c>
      <c r="F20">
        <v>88.927989999999994</v>
      </c>
      <c r="G20">
        <v>94.411789999999996</v>
      </c>
      <c r="H20">
        <v>100.0596</v>
      </c>
      <c r="I20">
        <v>105.8716</v>
      </c>
      <c r="J20">
        <v>111.8475</v>
      </c>
      <c r="K20">
        <v>117.9876</v>
      </c>
      <c r="L20">
        <v>124.2916</v>
      </c>
      <c r="M20" s="4">
        <f t="shared" si="1"/>
        <v>130.76182503253068</v>
      </c>
      <c r="O20" s="5">
        <f t="shared" si="2"/>
        <v>89.253523899572372</v>
      </c>
      <c r="P20" s="5">
        <f t="shared" si="2"/>
        <v>123.90755115499819</v>
      </c>
    </row>
    <row r="21" spans="1:16" x14ac:dyDescent="0.2">
      <c r="A21">
        <v>8</v>
      </c>
      <c r="B21">
        <v>0.5</v>
      </c>
      <c r="C21">
        <v>106.393</v>
      </c>
      <c r="D21">
        <v>8.3601400000000006E-2</v>
      </c>
      <c r="E21" s="2">
        <f t="shared" si="0"/>
        <v>83.993380221171691</v>
      </c>
      <c r="F21">
        <v>89.346590000000006</v>
      </c>
      <c r="G21">
        <v>94.863470000000007</v>
      </c>
      <c r="H21">
        <v>100.54559999999999</v>
      </c>
      <c r="I21">
        <v>106.393</v>
      </c>
      <c r="J21">
        <v>112.4057</v>
      </c>
      <c r="K21">
        <v>118.5836</v>
      </c>
      <c r="L21">
        <v>124.9268</v>
      </c>
      <c r="M21" s="4">
        <f t="shared" si="1"/>
        <v>131.4371966247385</v>
      </c>
      <c r="O21" s="5">
        <f t="shared" si="2"/>
        <v>89.674025461027213</v>
      </c>
      <c r="P21" s="5">
        <f t="shared" si="2"/>
        <v>124.54023147532101</v>
      </c>
    </row>
    <row r="22" spans="1:16" x14ac:dyDescent="0.2">
      <c r="A22">
        <v>8.5</v>
      </c>
      <c r="B22">
        <v>0.5</v>
      </c>
      <c r="C22">
        <v>106.9234</v>
      </c>
      <c r="D22" s="1">
        <v>8.3703730000000004E-2</v>
      </c>
      <c r="E22" s="2">
        <f t="shared" si="0"/>
        <v>84.386185857692666</v>
      </c>
      <c r="F22">
        <v>89.771919999999994</v>
      </c>
      <c r="G22">
        <v>95.322580000000002</v>
      </c>
      <c r="H22">
        <v>101.0397</v>
      </c>
      <c r="I22">
        <v>106.9234</v>
      </c>
      <c r="J22">
        <v>112.9735</v>
      </c>
      <c r="K22">
        <v>119.1901</v>
      </c>
      <c r="L22">
        <v>125.5732</v>
      </c>
      <c r="M22" s="4">
        <f t="shared" si="1"/>
        <v>132.12488527213284</v>
      </c>
      <c r="O22" s="5">
        <f t="shared" si="2"/>
        <v>90.101389637238256</v>
      </c>
      <c r="P22" s="5">
        <f t="shared" si="2"/>
        <v>125.18430359340107</v>
      </c>
    </row>
    <row r="23" spans="1:16" x14ac:dyDescent="0.2">
      <c r="A23">
        <v>9</v>
      </c>
      <c r="B23">
        <v>0.5</v>
      </c>
      <c r="C23">
        <v>107.4712</v>
      </c>
      <c r="D23" s="1">
        <v>8.3810570000000001E-2</v>
      </c>
      <c r="E23" s="2">
        <f t="shared" si="0"/>
        <v>84.791318295490697</v>
      </c>
      <c r="F23">
        <v>90.210849999999994</v>
      </c>
      <c r="G23">
        <v>95.796530000000004</v>
      </c>
      <c r="H23">
        <v>101.55</v>
      </c>
      <c r="I23">
        <v>107.4712</v>
      </c>
      <c r="J23">
        <v>113.56019999999999</v>
      </c>
      <c r="K23">
        <v>119.81699999999999</v>
      </c>
      <c r="L23">
        <v>126.2415</v>
      </c>
      <c r="M23" s="4">
        <f t="shared" si="1"/>
        <v>132.83584327362576</v>
      </c>
      <c r="O23" s="5">
        <f t="shared" si="2"/>
        <v>90.542347991647731</v>
      </c>
      <c r="P23" s="5">
        <f t="shared" si="2"/>
        <v>125.85001151301245</v>
      </c>
    </row>
    <row r="24" spans="1:16" x14ac:dyDescent="0.2">
      <c r="A24">
        <v>9.5</v>
      </c>
      <c r="B24">
        <v>0.5</v>
      </c>
      <c r="C24">
        <v>108.0399</v>
      </c>
      <c r="D24" s="1">
        <v>8.3923029999999996E-2</v>
      </c>
      <c r="E24" s="2">
        <f t="shared" si="0"/>
        <v>85.211223799929513</v>
      </c>
      <c r="F24">
        <v>90.665949999999995</v>
      </c>
      <c r="G24">
        <v>96.288160000000005</v>
      </c>
      <c r="H24">
        <v>102.0795</v>
      </c>
      <c r="I24">
        <v>108.0399</v>
      </c>
      <c r="J24">
        <v>114.1695</v>
      </c>
      <c r="K24">
        <v>120.46810000000001</v>
      </c>
      <c r="L24">
        <v>126.9359</v>
      </c>
      <c r="M24" s="4">
        <f t="shared" si="1"/>
        <v>133.57479259122607</v>
      </c>
      <c r="O24" s="5">
        <f t="shared" si="2"/>
        <v>90.999609752919582</v>
      </c>
      <c r="P24" s="5">
        <f t="shared" si="2"/>
        <v>126.54173686006871</v>
      </c>
    </row>
    <row r="25" spans="1:16" x14ac:dyDescent="0.2">
      <c r="A25">
        <v>10</v>
      </c>
      <c r="B25">
        <v>0.5</v>
      </c>
      <c r="C25">
        <v>108.6344</v>
      </c>
      <c r="D25" s="1">
        <v>8.4042469999999994E-2</v>
      </c>
      <c r="E25" s="2">
        <f t="shared" si="0"/>
        <v>85.649377155584816</v>
      </c>
      <c r="F25">
        <v>91.141099999999994</v>
      </c>
      <c r="G25">
        <v>96.801680000000005</v>
      </c>
      <c r="H25">
        <v>102.6328</v>
      </c>
      <c r="I25">
        <v>108.6344</v>
      </c>
      <c r="J25">
        <v>114.8066</v>
      </c>
      <c r="K25">
        <v>121.1493</v>
      </c>
      <c r="L25">
        <v>127.6626</v>
      </c>
      <c r="M25" s="4">
        <f t="shared" si="1"/>
        <v>134.34828137361609</v>
      </c>
      <c r="O25" s="5">
        <f t="shared" si="2"/>
        <v>91.477005821457013</v>
      </c>
      <c r="P25" s="5">
        <f t="shared" si="2"/>
        <v>127.26556913375811</v>
      </c>
    </row>
    <row r="26" spans="1:16" x14ac:dyDescent="0.2">
      <c r="A26">
        <v>10.5</v>
      </c>
      <c r="B26">
        <v>0.5</v>
      </c>
      <c r="C26">
        <v>109.2651</v>
      </c>
      <c r="D26" s="1">
        <v>8.4170889999999998E-2</v>
      </c>
      <c r="E26" s="2">
        <f t="shared" si="0"/>
        <v>86.113407075662138</v>
      </c>
      <c r="F26">
        <v>91.644490000000005</v>
      </c>
      <c r="G26">
        <v>97.345979999999997</v>
      </c>
      <c r="H26">
        <v>103.2195</v>
      </c>
      <c r="I26">
        <v>109.2651</v>
      </c>
      <c r="J26">
        <v>115.48269999999999</v>
      </c>
      <c r="K26">
        <v>121.8724</v>
      </c>
      <c r="L26">
        <v>128.4341</v>
      </c>
      <c r="M26" s="4">
        <f t="shared" si="1"/>
        <v>135.16988883847876</v>
      </c>
      <c r="O26" s="5">
        <f t="shared" si="2"/>
        <v>91.98285985600188</v>
      </c>
      <c r="P26" s="5">
        <f t="shared" si="2"/>
        <v>128.03420498662305</v>
      </c>
    </row>
    <row r="27" spans="1:16" x14ac:dyDescent="0.2">
      <c r="A27">
        <v>11</v>
      </c>
      <c r="B27">
        <v>0.5</v>
      </c>
      <c r="C27">
        <v>109.9603</v>
      </c>
      <c r="D27" s="1">
        <v>8.4311789999999998E-2</v>
      </c>
      <c r="E27" s="2">
        <f t="shared" si="0"/>
        <v>86.624625164236349</v>
      </c>
      <c r="F27">
        <v>92.199190000000002</v>
      </c>
      <c r="G27">
        <v>97.945830000000001</v>
      </c>
      <c r="H27">
        <v>103.86620000000001</v>
      </c>
      <c r="I27">
        <v>109.9603</v>
      </c>
      <c r="J27">
        <v>116.2281</v>
      </c>
      <c r="K27">
        <v>122.6696</v>
      </c>
      <c r="L27">
        <v>129.28479999999999</v>
      </c>
      <c r="M27" s="4">
        <f t="shared" si="1"/>
        <v>136.07587098104833</v>
      </c>
      <c r="O27" s="5">
        <f t="shared" si="2"/>
        <v>92.540241865868495</v>
      </c>
      <c r="P27" s="5">
        <f t="shared" si="2"/>
        <v>128.88169698082478</v>
      </c>
    </row>
    <row r="28" spans="1:16" x14ac:dyDescent="0.2">
      <c r="A28">
        <v>11.5</v>
      </c>
      <c r="B28">
        <v>0.5</v>
      </c>
      <c r="C28">
        <v>110.7573</v>
      </c>
      <c r="D28" s="1">
        <v>8.4468619999999994E-2</v>
      </c>
      <c r="E28" s="2">
        <f t="shared" si="0"/>
        <v>87.211373841959499</v>
      </c>
      <c r="F28">
        <v>92.835639999999998</v>
      </c>
      <c r="G28">
        <v>98.633889999999994</v>
      </c>
      <c r="H28">
        <v>104.6078</v>
      </c>
      <c r="I28">
        <v>110.7573</v>
      </c>
      <c r="J28">
        <v>117.08240000000001</v>
      </c>
      <c r="K28">
        <v>123.58320000000001</v>
      </c>
      <c r="L28">
        <v>130.25960000000001</v>
      </c>
      <c r="M28" s="4">
        <f t="shared" si="1"/>
        <v>137.1136977110888</v>
      </c>
      <c r="O28" s="5">
        <f t="shared" si="2"/>
        <v>93.179750878234302</v>
      </c>
      <c r="P28" s="5">
        <f t="shared" si="2"/>
        <v>129.85270083262006</v>
      </c>
    </row>
    <row r="29" spans="1:16" x14ac:dyDescent="0.2">
      <c r="A29">
        <v>12</v>
      </c>
      <c r="B29">
        <v>0.5</v>
      </c>
      <c r="C29">
        <v>111.6781</v>
      </c>
      <c r="D29" s="1">
        <v>8.4642380000000003E-2</v>
      </c>
      <c r="E29" s="2">
        <f t="shared" si="0"/>
        <v>87.890502541588162</v>
      </c>
      <c r="F29">
        <v>93.571950000000001</v>
      </c>
      <c r="G29">
        <v>99.42953</v>
      </c>
      <c r="H29">
        <v>105.4649</v>
      </c>
      <c r="I29">
        <v>111.6781</v>
      </c>
      <c r="J29">
        <v>118.06910000000001</v>
      </c>
      <c r="K29">
        <v>124.63800000000001</v>
      </c>
      <c r="L29">
        <v>131.38470000000001</v>
      </c>
      <c r="M29" s="4">
        <f t="shared" si="1"/>
        <v>138.31120529038938</v>
      </c>
      <c r="O29" s="5">
        <f t="shared" si="2"/>
        <v>93.91953497382589</v>
      </c>
      <c r="P29" s="5">
        <f t="shared" si="2"/>
        <v>130.97343878441836</v>
      </c>
    </row>
    <row r="30" spans="1:16" x14ac:dyDescent="0.2">
      <c r="A30">
        <v>12.5</v>
      </c>
      <c r="B30">
        <v>0.5</v>
      </c>
      <c r="C30">
        <v>112.73269999999999</v>
      </c>
      <c r="D30" s="1">
        <v>8.4832539999999998E-2</v>
      </c>
      <c r="E30" s="2">
        <f t="shared" si="0"/>
        <v>88.669758480978956</v>
      </c>
      <c r="F30">
        <v>94.416340000000005</v>
      </c>
      <c r="G30">
        <v>100.3415</v>
      </c>
      <c r="H30">
        <v>106.447</v>
      </c>
      <c r="I30">
        <v>112.73269999999999</v>
      </c>
      <c r="J30">
        <v>119.19880000000001</v>
      </c>
      <c r="K30">
        <v>125.84520000000001</v>
      </c>
      <c r="L30">
        <v>132.67189999999999</v>
      </c>
      <c r="M30" s="4">
        <f t="shared" si="1"/>
        <v>139.68094091947628</v>
      </c>
      <c r="O30" s="5">
        <f t="shared" si="2"/>
        <v>94.767909915179416</v>
      </c>
      <c r="P30" s="5">
        <f t="shared" si="2"/>
        <v>132.25575408025512</v>
      </c>
    </row>
    <row r="31" spans="1:16" x14ac:dyDescent="0.2">
      <c r="A31">
        <v>13</v>
      </c>
      <c r="B31">
        <v>0.5</v>
      </c>
      <c r="C31">
        <v>113.92570000000001</v>
      </c>
      <c r="D31" s="1">
        <v>8.5037660000000001E-2</v>
      </c>
      <c r="E31" s="2">
        <f t="shared" si="0"/>
        <v>89.552846283826355</v>
      </c>
      <c r="F31">
        <v>95.372680000000003</v>
      </c>
      <c r="G31">
        <v>101.37390000000001</v>
      </c>
      <c r="H31">
        <v>107.5582</v>
      </c>
      <c r="I31">
        <v>113.92570000000001</v>
      </c>
      <c r="J31">
        <v>120.47620000000001</v>
      </c>
      <c r="K31">
        <v>127.2098</v>
      </c>
      <c r="L31">
        <v>134.12649999999999</v>
      </c>
      <c r="M31" s="4">
        <f t="shared" si="1"/>
        <v>141.22850462371827</v>
      </c>
      <c r="O31" s="5">
        <f t="shared" si="2"/>
        <v>95.728807500952627</v>
      </c>
      <c r="P31" s="5">
        <f t="shared" si="2"/>
        <v>133.7049714393047</v>
      </c>
    </row>
    <row r="32" spans="1:16" x14ac:dyDescent="0.2">
      <c r="A32">
        <v>13.5</v>
      </c>
      <c r="B32">
        <v>0.5</v>
      </c>
      <c r="C32">
        <v>115.2336</v>
      </c>
      <c r="D32" s="1">
        <v>8.5254769999999994E-2</v>
      </c>
      <c r="E32" s="2">
        <f t="shared" si="0"/>
        <v>90.521790892977307</v>
      </c>
      <c r="F32">
        <v>96.421859999999995</v>
      </c>
      <c r="G32">
        <v>102.5063</v>
      </c>
      <c r="H32">
        <v>108.7769</v>
      </c>
      <c r="I32">
        <v>115.2336</v>
      </c>
      <c r="J32">
        <v>121.87649999999999</v>
      </c>
      <c r="K32">
        <v>128.7055</v>
      </c>
      <c r="L32">
        <v>135.72069999999999</v>
      </c>
      <c r="M32" s="4">
        <f t="shared" si="1"/>
        <v>142.92414871180415</v>
      </c>
      <c r="O32" s="5">
        <f t="shared" si="2"/>
        <v>96.782858386546209</v>
      </c>
      <c r="P32" s="5">
        <f t="shared" si="2"/>
        <v>135.29306987131619</v>
      </c>
    </row>
    <row r="33" spans="1:16" x14ac:dyDescent="0.2">
      <c r="A33">
        <v>14</v>
      </c>
      <c r="B33">
        <v>0.5</v>
      </c>
      <c r="C33">
        <v>116.6101</v>
      </c>
      <c r="D33" s="1">
        <v>8.5479860000000005E-2</v>
      </c>
      <c r="E33" s="2">
        <f t="shared" si="0"/>
        <v>91.541067037532841</v>
      </c>
      <c r="F33">
        <v>97.525599999999997</v>
      </c>
      <c r="G33">
        <v>103.6977</v>
      </c>
      <c r="H33">
        <v>110.0592</v>
      </c>
      <c r="I33">
        <v>116.6101</v>
      </c>
      <c r="J33">
        <v>123.3503</v>
      </c>
      <c r="K33">
        <v>130.2799</v>
      </c>
      <c r="L33">
        <v>137.39879999999999</v>
      </c>
      <c r="M33" s="4">
        <f t="shared" si="1"/>
        <v>144.70939236800655</v>
      </c>
      <c r="O33" s="5">
        <f t="shared" si="2"/>
        <v>97.891817832611991</v>
      </c>
      <c r="P33" s="5">
        <f t="shared" si="2"/>
        <v>136.96493473026374</v>
      </c>
    </row>
    <row r="34" spans="1:16" x14ac:dyDescent="0.2">
      <c r="A34">
        <v>14.5</v>
      </c>
      <c r="B34">
        <v>0.5</v>
      </c>
      <c r="C34">
        <v>118.01439999999999</v>
      </c>
      <c r="D34">
        <v>8.5708999999999994E-2</v>
      </c>
      <c r="E34" s="2">
        <f t="shared" si="0"/>
        <v>92.579579608435594</v>
      </c>
      <c r="F34">
        <v>98.650589999999994</v>
      </c>
      <c r="G34">
        <v>104.91249999999999</v>
      </c>
      <c r="H34">
        <v>111.36709999999999</v>
      </c>
      <c r="I34">
        <v>118.01439999999999</v>
      </c>
      <c r="J34">
        <v>124.85429999999999</v>
      </c>
      <c r="K34">
        <v>131.8869</v>
      </c>
      <c r="L34">
        <v>139.1122</v>
      </c>
      <c r="M34" s="4">
        <f t="shared" si="1"/>
        <v>146.53243599044197</v>
      </c>
      <c r="O34" s="5">
        <f t="shared" si="2"/>
        <v>99.022144032124913</v>
      </c>
      <c r="P34" s="5">
        <f t="shared" si="2"/>
        <v>138.67180858847829</v>
      </c>
    </row>
    <row r="35" spans="1:16" x14ac:dyDescent="0.2">
      <c r="A35">
        <v>15</v>
      </c>
      <c r="B35">
        <v>0.5</v>
      </c>
      <c r="C35">
        <v>119.4114</v>
      </c>
      <c r="D35" s="1">
        <v>8.5938429999999996E-2</v>
      </c>
      <c r="E35" s="2">
        <f t="shared" si="0"/>
        <v>93.610789501423341</v>
      </c>
      <c r="F35">
        <v>99.768349999999998</v>
      </c>
      <c r="G35">
        <v>106.12</v>
      </c>
      <c r="H35">
        <v>112.6677</v>
      </c>
      <c r="I35">
        <v>119.4114</v>
      </c>
      <c r="J35">
        <v>126.3511</v>
      </c>
      <c r="K35">
        <v>133.48679999999999</v>
      </c>
      <c r="L35">
        <v>140.8185</v>
      </c>
      <c r="M35" s="4">
        <f t="shared" si="1"/>
        <v>148.34844813412741</v>
      </c>
      <c r="O35" s="5">
        <f t="shared" si="2"/>
        <v>100.14514236725351</v>
      </c>
      <c r="P35" s="5">
        <f t="shared" si="2"/>
        <v>140.37155388511925</v>
      </c>
    </row>
    <row r="36" spans="1:16" x14ac:dyDescent="0.2">
      <c r="A36">
        <v>15.5</v>
      </c>
      <c r="B36">
        <v>0.5</v>
      </c>
      <c r="C36">
        <v>120.7739</v>
      </c>
      <c r="D36" s="1">
        <v>8.6164640000000001E-2</v>
      </c>
      <c r="E36" s="2">
        <f t="shared" si="0"/>
        <v>94.61439897621095</v>
      </c>
      <c r="F36">
        <v>100.8567</v>
      </c>
      <c r="G36">
        <v>107.29649999999999</v>
      </c>
      <c r="H36">
        <v>113.9355</v>
      </c>
      <c r="I36">
        <v>120.7739</v>
      </c>
      <c r="J36">
        <v>127.8115</v>
      </c>
      <c r="K36">
        <v>135.04839999999999</v>
      </c>
      <c r="L36">
        <v>142.4845</v>
      </c>
      <c r="M36" s="4">
        <f t="shared" si="1"/>
        <v>150.12234788206621</v>
      </c>
      <c r="O36" s="5">
        <f t="shared" si="2"/>
        <v>101.23878060482697</v>
      </c>
      <c r="P36" s="5">
        <f t="shared" si="2"/>
        <v>142.03127430980103</v>
      </c>
    </row>
    <row r="37" spans="1:16" x14ac:dyDescent="0.2">
      <c r="A37">
        <v>16</v>
      </c>
      <c r="B37">
        <v>0.5</v>
      </c>
      <c r="C37">
        <v>122.0849</v>
      </c>
      <c r="D37">
        <v>8.6384699999999995E-2</v>
      </c>
      <c r="E37" s="2">
        <f t="shared" si="0"/>
        <v>95.578029435234697</v>
      </c>
      <c r="F37">
        <v>101.9024</v>
      </c>
      <c r="G37">
        <v>108.42740000000001</v>
      </c>
      <c r="H37">
        <v>115.1549</v>
      </c>
      <c r="I37">
        <v>122.0849</v>
      </c>
      <c r="J37">
        <v>129.21729999999999</v>
      </c>
      <c r="K37">
        <v>136.5522</v>
      </c>
      <c r="L37">
        <v>144.08959999999999</v>
      </c>
      <c r="M37" s="4">
        <f t="shared" si="1"/>
        <v>151.83182007236874</v>
      </c>
      <c r="O37" s="5">
        <f t="shared" si="2"/>
        <v>102.2895225693632</v>
      </c>
      <c r="P37" s="5">
        <f t="shared" si="2"/>
        <v>143.63013135925416</v>
      </c>
    </row>
    <row r="38" spans="1:16" x14ac:dyDescent="0.2">
      <c r="A38">
        <v>16.5</v>
      </c>
      <c r="B38">
        <v>0.5</v>
      </c>
      <c r="C38">
        <v>123.3263</v>
      </c>
      <c r="D38" s="1">
        <v>8.6595889999999995E-2</v>
      </c>
      <c r="E38" s="2">
        <f t="shared" si="0"/>
        <v>96.488447440123039</v>
      </c>
      <c r="F38">
        <v>102.89100000000001</v>
      </c>
      <c r="G38">
        <v>109.49720000000001</v>
      </c>
      <c r="H38">
        <v>116.309</v>
      </c>
      <c r="I38">
        <v>123.3263</v>
      </c>
      <c r="J38">
        <v>130.54910000000001</v>
      </c>
      <c r="K38">
        <v>137.97749999999999</v>
      </c>
      <c r="L38">
        <v>145.6113</v>
      </c>
      <c r="M38" s="4">
        <f t="shared" si="1"/>
        <v>153.45317092143293</v>
      </c>
      <c r="O38" s="5">
        <f t="shared" si="2"/>
        <v>103.28291551121389</v>
      </c>
      <c r="P38" s="5">
        <f t="shared" si="2"/>
        <v>145.1459850322677</v>
      </c>
    </row>
    <row r="39" spans="1:16" x14ac:dyDescent="0.2">
      <c r="A39">
        <v>17</v>
      </c>
      <c r="B39">
        <v>0.5</v>
      </c>
      <c r="C39">
        <v>124.4718</v>
      </c>
      <c r="D39" s="1">
        <v>8.6795490000000003E-2</v>
      </c>
      <c r="E39" s="2">
        <f t="shared" si="0"/>
        <v>97.326067417496034</v>
      </c>
      <c r="F39">
        <v>103.8013</v>
      </c>
      <c r="G39">
        <v>110.48309999999999</v>
      </c>
      <c r="H39">
        <v>117.3733</v>
      </c>
      <c r="I39">
        <v>124.4718</v>
      </c>
      <c r="J39">
        <v>131.77879999999999</v>
      </c>
      <c r="K39">
        <v>139.29409999999999</v>
      </c>
      <c r="L39">
        <v>147.0179</v>
      </c>
      <c r="M39" s="4">
        <f t="shared" si="1"/>
        <v>154.95242112971482</v>
      </c>
      <c r="O39" s="5">
        <f t="shared" si="2"/>
        <v>104.19768781690979</v>
      </c>
      <c r="P39" s="5">
        <f t="shared" si="2"/>
        <v>146.54698584327457</v>
      </c>
    </row>
    <row r="40" spans="1:16" x14ac:dyDescent="0.2">
      <c r="A40">
        <v>17.5</v>
      </c>
      <c r="B40">
        <v>0.5</v>
      </c>
      <c r="C40">
        <v>125.5077</v>
      </c>
      <c r="D40" s="1">
        <v>8.6981550000000005E-2</v>
      </c>
      <c r="E40" s="2">
        <f t="shared" si="0"/>
        <v>98.080987072243374</v>
      </c>
      <c r="F40">
        <v>104.62260000000001</v>
      </c>
      <c r="G40">
        <v>111.3732</v>
      </c>
      <c r="H40">
        <v>118.3349</v>
      </c>
      <c r="I40">
        <v>125.5077</v>
      </c>
      <c r="J40">
        <v>132.89150000000001</v>
      </c>
      <c r="K40">
        <v>140.4863</v>
      </c>
      <c r="L40">
        <v>148.2921</v>
      </c>
      <c r="M40" s="4">
        <f t="shared" si="1"/>
        <v>156.31148781741862</v>
      </c>
      <c r="O40" s="5">
        <f t="shared" si="2"/>
        <v>105.02298740259729</v>
      </c>
      <c r="P40" s="5">
        <f t="shared" si="2"/>
        <v>147.81626984064616</v>
      </c>
    </row>
    <row r="41" spans="1:16" x14ac:dyDescent="0.2">
      <c r="A41">
        <v>18</v>
      </c>
      <c r="B41">
        <v>0.5</v>
      </c>
      <c r="C41">
        <v>126.42619999999999</v>
      </c>
      <c r="D41" s="1">
        <v>8.715262E-2</v>
      </c>
      <c r="E41" s="2">
        <f t="shared" si="0"/>
        <v>98.747786669305668</v>
      </c>
      <c r="F41">
        <v>105.34869999999999</v>
      </c>
      <c r="G41">
        <v>112.1611</v>
      </c>
      <c r="H41">
        <v>119.187</v>
      </c>
      <c r="I41">
        <v>126.42619999999999</v>
      </c>
      <c r="J41">
        <v>133.87880000000001</v>
      </c>
      <c r="K41">
        <v>141.54490000000001</v>
      </c>
      <c r="L41">
        <v>149.42439999999999</v>
      </c>
      <c r="M41" s="4">
        <f t="shared" si="1"/>
        <v>157.51979660778471</v>
      </c>
      <c r="O41" s="5">
        <f t="shared" si="2"/>
        <v>105.75280190352626</v>
      </c>
      <c r="P41" s="5">
        <f t="shared" si="2"/>
        <v>148.94403654111503</v>
      </c>
    </row>
    <row r="42" spans="1:16" x14ac:dyDescent="0.2">
      <c r="A42">
        <v>18.5</v>
      </c>
      <c r="B42">
        <v>0.5</v>
      </c>
      <c r="C42">
        <v>127.2239</v>
      </c>
      <c r="D42">
        <v>8.7307599999999999E-2</v>
      </c>
      <c r="E42" s="2">
        <f t="shared" si="0"/>
        <v>99.324377849169267</v>
      </c>
      <c r="F42">
        <v>105.97750000000001</v>
      </c>
      <c r="G42">
        <v>112.8441</v>
      </c>
      <c r="H42">
        <v>119.9263</v>
      </c>
      <c r="I42">
        <v>127.2239</v>
      </c>
      <c r="J42">
        <v>134.7372</v>
      </c>
      <c r="K42">
        <v>142.4659</v>
      </c>
      <c r="L42">
        <v>150.4102</v>
      </c>
      <c r="M42" s="4">
        <f t="shared" si="1"/>
        <v>158.57238757349705</v>
      </c>
      <c r="O42" s="5">
        <f t="shared" si="2"/>
        <v>106.38471942342991</v>
      </c>
      <c r="P42" s="5">
        <f t="shared" si="2"/>
        <v>149.92576374864979</v>
      </c>
    </row>
    <row r="43" spans="1:16" x14ac:dyDescent="0.2">
      <c r="A43">
        <v>19</v>
      </c>
      <c r="B43">
        <v>0.5</v>
      </c>
      <c r="C43">
        <v>127.9038</v>
      </c>
      <c r="D43" s="1">
        <v>8.7445880000000004E-2</v>
      </c>
      <c r="E43" s="2">
        <f t="shared" si="0"/>
        <v>99.813505513875384</v>
      </c>
      <c r="F43">
        <v>106.5115</v>
      </c>
      <c r="G43">
        <v>113.42489999999999</v>
      </c>
      <c r="H43">
        <v>120.5557</v>
      </c>
      <c r="I43">
        <v>127.9038</v>
      </c>
      <c r="J43">
        <v>135.4693</v>
      </c>
      <c r="K43">
        <v>143.25219999999999</v>
      </c>
      <c r="L43">
        <v>151.25239999999999</v>
      </c>
      <c r="M43" s="4">
        <f t="shared" si="1"/>
        <v>159.47248380127428</v>
      </c>
      <c r="O43" s="5">
        <f t="shared" si="2"/>
        <v>106.92155561047466</v>
      </c>
      <c r="P43" s="5">
        <f t="shared" si="2"/>
        <v>150.76461852676968</v>
      </c>
    </row>
    <row r="44" spans="1:16" x14ac:dyDescent="0.2">
      <c r="A44">
        <v>19.5</v>
      </c>
      <c r="B44">
        <v>0.5</v>
      </c>
      <c r="C44">
        <v>128.4802</v>
      </c>
      <c r="D44" s="1">
        <v>8.7568060000000003E-2</v>
      </c>
      <c r="E44" s="2">
        <f t="shared" si="0"/>
        <v>100.22633581437782</v>
      </c>
      <c r="F44">
        <v>106.9628</v>
      </c>
      <c r="G44">
        <v>113.91630000000001</v>
      </c>
      <c r="H44">
        <v>121.08880000000001</v>
      </c>
      <c r="I44">
        <v>128.4802</v>
      </c>
      <c r="J44">
        <v>136.09049999999999</v>
      </c>
      <c r="K44">
        <v>143.91980000000001</v>
      </c>
      <c r="L44">
        <v>151.96809999999999</v>
      </c>
      <c r="M44" s="4">
        <f t="shared" si="1"/>
        <v>160.23789958848346</v>
      </c>
      <c r="O44" s="5">
        <f t="shared" si="2"/>
        <v>107.37527035548864</v>
      </c>
      <c r="P44" s="5">
        <f t="shared" si="2"/>
        <v>151.47744645341723</v>
      </c>
    </row>
    <row r="45" spans="1:16" x14ac:dyDescent="0.2">
      <c r="A45">
        <v>20</v>
      </c>
      <c r="B45">
        <v>0.5</v>
      </c>
      <c r="C45">
        <v>128.9751</v>
      </c>
      <c r="D45" s="1">
        <v>8.7676130000000005E-2</v>
      </c>
      <c r="E45" s="2">
        <f t="shared" si="0"/>
        <v>100.57957314810685</v>
      </c>
      <c r="F45">
        <v>107.34950000000001</v>
      </c>
      <c r="G45">
        <v>114.3377</v>
      </c>
      <c r="H45">
        <v>121.5462</v>
      </c>
      <c r="I45">
        <v>128.9751</v>
      </c>
      <c r="J45">
        <v>136.62440000000001</v>
      </c>
      <c r="K45">
        <v>144.494</v>
      </c>
      <c r="L45">
        <v>152.5839</v>
      </c>
      <c r="M45" s="4">
        <f t="shared" si="1"/>
        <v>160.89664588979906</v>
      </c>
      <c r="O45" s="5">
        <f t="shared" si="2"/>
        <v>107.76390226450594</v>
      </c>
      <c r="P45" s="5">
        <f t="shared" si="2"/>
        <v>152.09059526285591</v>
      </c>
    </row>
    <row r="46" spans="1:16" x14ac:dyDescent="0.2">
      <c r="A46">
        <v>20.5</v>
      </c>
      <c r="B46">
        <v>0.5</v>
      </c>
      <c r="C46">
        <v>129.40639999999999</v>
      </c>
      <c r="D46">
        <v>8.7772199999999995E-2</v>
      </c>
      <c r="E46" s="2">
        <f t="shared" si="0"/>
        <v>100.88663920263599</v>
      </c>
      <c r="F46">
        <v>107.6858</v>
      </c>
      <c r="G46">
        <v>114.70440000000001</v>
      </c>
      <c r="H46">
        <v>121.94459999999999</v>
      </c>
      <c r="I46">
        <v>129.40639999999999</v>
      </c>
      <c r="J46">
        <v>137.0898</v>
      </c>
      <c r="K46">
        <v>144.99469999999999</v>
      </c>
      <c r="L46">
        <v>153.12119999999999</v>
      </c>
      <c r="M46" s="4">
        <f t="shared" si="1"/>
        <v>161.47172831001069</v>
      </c>
      <c r="O46" s="5">
        <f t="shared" si="2"/>
        <v>108.10199914379807</v>
      </c>
      <c r="P46" s="5">
        <f t="shared" si="2"/>
        <v>152.62565593067632</v>
      </c>
    </row>
    <row r="47" spans="1:16" x14ac:dyDescent="0.2">
      <c r="A47">
        <v>21</v>
      </c>
      <c r="B47">
        <v>0.5</v>
      </c>
      <c r="C47">
        <v>129.78550000000001</v>
      </c>
      <c r="D47" s="1">
        <v>8.7857920000000006E-2</v>
      </c>
      <c r="E47" s="2">
        <f t="shared" si="0"/>
        <v>101.15599325782038</v>
      </c>
      <c r="F47">
        <v>107.98090000000001</v>
      </c>
      <c r="G47">
        <v>115.0265</v>
      </c>
      <c r="H47">
        <v>122.29470000000001</v>
      </c>
      <c r="I47">
        <v>129.78550000000001</v>
      </c>
      <c r="J47">
        <v>137.499</v>
      </c>
      <c r="K47">
        <v>145.43520000000001</v>
      </c>
      <c r="L47">
        <v>153.59389999999999</v>
      </c>
      <c r="M47" s="4">
        <f t="shared" si="1"/>
        <v>161.97791012005789</v>
      </c>
      <c r="O47" s="5">
        <f t="shared" si="2"/>
        <v>108.39875871228919</v>
      </c>
      <c r="P47" s="5">
        <f t="shared" si="2"/>
        <v>153.09645894501313</v>
      </c>
    </row>
    <row r="48" spans="1:16" x14ac:dyDescent="0.2">
      <c r="A48">
        <v>21.5</v>
      </c>
      <c r="B48">
        <v>0.5</v>
      </c>
      <c r="C48">
        <v>130.12110000000001</v>
      </c>
      <c r="D48" s="1">
        <v>8.7934739999999997E-2</v>
      </c>
      <c r="E48" s="2">
        <f t="shared" si="0"/>
        <v>101.39402856540595</v>
      </c>
      <c r="F48">
        <v>108.2419</v>
      </c>
      <c r="G48">
        <v>115.3113</v>
      </c>
      <c r="H48">
        <v>122.6044</v>
      </c>
      <c r="I48">
        <v>130.12110000000001</v>
      </c>
      <c r="J48">
        <v>137.8614</v>
      </c>
      <c r="K48">
        <v>145.8253</v>
      </c>
      <c r="L48">
        <v>154.0128</v>
      </c>
      <c r="M48" s="4">
        <f t="shared" si="1"/>
        <v>162.42653719287861</v>
      </c>
      <c r="O48" s="5">
        <f t="shared" si="2"/>
        <v>108.66115271816858</v>
      </c>
      <c r="P48" s="5">
        <f t="shared" si="2"/>
        <v>153.51361570878598</v>
      </c>
    </row>
    <row r="49" spans="1:16" x14ac:dyDescent="0.2">
      <c r="A49">
        <v>22</v>
      </c>
      <c r="B49">
        <v>0.5</v>
      </c>
      <c r="C49">
        <v>130.4205</v>
      </c>
      <c r="D49" s="1">
        <v>8.8003990000000004E-2</v>
      </c>
      <c r="E49" s="2">
        <f t="shared" si="0"/>
        <v>101.60606777035082</v>
      </c>
      <c r="F49">
        <v>108.47450000000001</v>
      </c>
      <c r="G49">
        <v>115.5654</v>
      </c>
      <c r="H49">
        <v>122.8807</v>
      </c>
      <c r="I49">
        <v>130.4205</v>
      </c>
      <c r="J49">
        <v>138.1848</v>
      </c>
      <c r="K49">
        <v>146.17359999999999</v>
      </c>
      <c r="L49">
        <v>154.3869</v>
      </c>
      <c r="M49" s="4">
        <f t="shared" si="1"/>
        <v>162.82718280150937</v>
      </c>
      <c r="O49" s="5">
        <f t="shared" si="2"/>
        <v>108.89499918779035</v>
      </c>
      <c r="P49" s="5">
        <f t="shared" si="2"/>
        <v>153.8860680121077</v>
      </c>
    </row>
    <row r="50" spans="1:16" x14ac:dyDescent="0.2">
      <c r="A50">
        <v>22.5</v>
      </c>
      <c r="B50">
        <v>0.5</v>
      </c>
      <c r="C50">
        <v>130.69159999999999</v>
      </c>
      <c r="D50" s="1">
        <v>8.8067179999999995E-2</v>
      </c>
      <c r="E50" s="2">
        <f t="shared" si="0"/>
        <v>101.79783283016701</v>
      </c>
      <c r="F50">
        <v>108.6849</v>
      </c>
      <c r="G50">
        <v>115.79519999999999</v>
      </c>
      <c r="H50">
        <v>123.13079999999999</v>
      </c>
      <c r="I50">
        <v>130.69159999999999</v>
      </c>
      <c r="J50">
        <v>138.4777</v>
      </c>
      <c r="K50">
        <v>146.48910000000001</v>
      </c>
      <c r="L50">
        <v>154.72579999999999</v>
      </c>
      <c r="M50" s="4">
        <f t="shared" si="1"/>
        <v>163.19025611961078</v>
      </c>
      <c r="O50" s="5">
        <f t="shared" si="2"/>
        <v>109.10656523318643</v>
      </c>
      <c r="P50" s="5">
        <f t="shared" si="2"/>
        <v>154.22352757699895</v>
      </c>
    </row>
    <row r="51" spans="1:16" x14ac:dyDescent="0.2">
      <c r="A51">
        <v>23</v>
      </c>
      <c r="B51">
        <v>0.5</v>
      </c>
      <c r="C51">
        <v>130.94380000000001</v>
      </c>
      <c r="D51" s="1">
        <v>8.8126289999999996E-2</v>
      </c>
      <c r="E51" s="2">
        <f t="shared" si="0"/>
        <v>101.97605779170856</v>
      </c>
      <c r="F51">
        <v>108.8805</v>
      </c>
      <c r="G51">
        <v>116.009</v>
      </c>
      <c r="H51">
        <v>123.3634</v>
      </c>
      <c r="I51">
        <v>130.94380000000001</v>
      </c>
      <c r="J51">
        <v>138.75030000000001</v>
      </c>
      <c r="K51">
        <v>146.78280000000001</v>
      </c>
      <c r="L51">
        <v>155.0412</v>
      </c>
      <c r="M51" s="4">
        <f t="shared" si="1"/>
        <v>163.52823774591423</v>
      </c>
      <c r="O51" s="5">
        <f t="shared" si="2"/>
        <v>109.30325126813796</v>
      </c>
      <c r="P51" s="5">
        <f t="shared" si="2"/>
        <v>154.53761792736978</v>
      </c>
    </row>
    <row r="52" spans="1:16" x14ac:dyDescent="0.2">
      <c r="A52">
        <v>23.5</v>
      </c>
      <c r="B52">
        <v>0.5</v>
      </c>
      <c r="C52">
        <v>131.1865</v>
      </c>
      <c r="D52">
        <v>8.8183300000000006E-2</v>
      </c>
      <c r="E52" s="2">
        <f t="shared" si="0"/>
        <v>102.14746548119113</v>
      </c>
      <c r="F52">
        <v>109.06870000000001</v>
      </c>
      <c r="G52">
        <v>116.2146</v>
      </c>
      <c r="H52">
        <v>123.5872</v>
      </c>
      <c r="I52">
        <v>131.1865</v>
      </c>
      <c r="J52">
        <v>139.01259999999999</v>
      </c>
      <c r="K52">
        <v>147.06540000000001</v>
      </c>
      <c r="L52">
        <v>155.3449</v>
      </c>
      <c r="M52" s="4">
        <f t="shared" si="1"/>
        <v>163.85362304258143</v>
      </c>
      <c r="O52" s="5">
        <f t="shared" si="2"/>
        <v>109.49244911532759</v>
      </c>
      <c r="P52" s="5">
        <f t="shared" si="2"/>
        <v>154.83997309158514</v>
      </c>
    </row>
    <row r="53" spans="1:16" x14ac:dyDescent="0.2">
      <c r="A53">
        <v>24</v>
      </c>
      <c r="B53">
        <v>0.5</v>
      </c>
      <c r="C53">
        <v>131.4263</v>
      </c>
      <c r="D53" s="1">
        <v>8.8239670000000006E-2</v>
      </c>
      <c r="E53" s="2">
        <f t="shared" si="0"/>
        <v>102.31674981935581</v>
      </c>
      <c r="F53">
        <v>109.2546</v>
      </c>
      <c r="G53">
        <v>116.4177</v>
      </c>
      <c r="H53">
        <v>123.8083</v>
      </c>
      <c r="I53">
        <v>131.4263</v>
      </c>
      <c r="J53">
        <v>139.27180000000001</v>
      </c>
      <c r="K53">
        <v>147.34469999999999</v>
      </c>
      <c r="L53">
        <v>155.64490000000001</v>
      </c>
      <c r="M53" s="4">
        <f t="shared" si="1"/>
        <v>164.17521898196205</v>
      </c>
      <c r="O53" s="5">
        <f t="shared" si="2"/>
        <v>109.67932869666433</v>
      </c>
      <c r="P53" s="5">
        <f t="shared" si="2"/>
        <v>155.13878565110366</v>
      </c>
    </row>
    <row r="54" spans="1:16" x14ac:dyDescent="0.2">
      <c r="C54">
        <v>140</v>
      </c>
      <c r="D54" s="2">
        <f>((C54/C53)^B53-1)/(B53*D53)</f>
        <v>0.72762311635122912</v>
      </c>
      <c r="E54" s="6">
        <f>100*NORMSDIST(D54)</f>
        <v>76.657783699300637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94A8-6AB7-384F-9FCD-0A0399249412}">
  <dimension ref="A1:M54"/>
  <sheetViews>
    <sheetView topLeftCell="A7" workbookViewId="0">
      <selection activeCell="C54" sqref="C54:E54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14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4</v>
      </c>
      <c r="D10">
        <v>2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</v>
      </c>
      <c r="B13">
        <v>1.0000000000000001E-5</v>
      </c>
      <c r="C13">
        <v>100.99299999999999</v>
      </c>
      <c r="D13">
        <v>8.6759799999999998E-2</v>
      </c>
      <c r="E13">
        <f>C13*(1+(B13*D13*-2.667))^(1/B13)</f>
        <v>80.130980590445887</v>
      </c>
      <c r="F13">
        <v>84.904169999999993</v>
      </c>
      <c r="G13">
        <v>89.960070000000002</v>
      </c>
      <c r="H13">
        <v>95.317049999999995</v>
      </c>
      <c r="I13">
        <v>100.99299999999999</v>
      </c>
      <c r="J13">
        <v>107.00700000000001</v>
      </c>
      <c r="K13">
        <v>113.37909999999999</v>
      </c>
      <c r="L13">
        <v>120.1306</v>
      </c>
      <c r="M13">
        <f>C13*(1+(B13*D13*2.667))^(1/B13)</f>
        <v>127.28635682529914</v>
      </c>
    </row>
    <row r="14" spans="1:13" x14ac:dyDescent="0.2">
      <c r="A14">
        <v>4.5</v>
      </c>
      <c r="B14">
        <v>1.0000000000000001E-5</v>
      </c>
      <c r="C14">
        <v>101.73180000000001</v>
      </c>
      <c r="D14" s="1">
        <v>8.6904949999999995E-2</v>
      </c>
      <c r="E14">
        <f t="shared" ref="E14:E53" si="0">C14*(1+(B14*D14*-2.667))^(1/B14)</f>
        <v>80.685926584180166</v>
      </c>
      <c r="F14">
        <v>85.500450000000001</v>
      </c>
      <c r="G14">
        <v>90.600620000000006</v>
      </c>
      <c r="H14">
        <v>96.005039999999994</v>
      </c>
      <c r="I14">
        <v>101.73180000000001</v>
      </c>
      <c r="J14">
        <v>107.8002</v>
      </c>
      <c r="K14">
        <v>114.2306</v>
      </c>
      <c r="L14">
        <v>121.0446</v>
      </c>
      <c r="M14">
        <f t="shared" ref="M14:M53" si="1">C14*(1+(B14*D14*2.667))^(1/B14)</f>
        <v>128.26714657475256</v>
      </c>
    </row>
    <row r="15" spans="1:13" x14ac:dyDescent="0.2">
      <c r="A15">
        <v>5</v>
      </c>
      <c r="B15">
        <v>1.0000000000000001E-5</v>
      </c>
      <c r="C15">
        <v>102.46980000000001</v>
      </c>
      <c r="D15" s="1">
        <v>8.7050059999999999E-2</v>
      </c>
      <c r="E15">
        <f t="shared" si="0"/>
        <v>81.239805413586524</v>
      </c>
      <c r="F15">
        <v>86.095650000000006</v>
      </c>
      <c r="G15">
        <v>91.240160000000003</v>
      </c>
      <c r="H15">
        <v>96.692070000000001</v>
      </c>
      <c r="I15">
        <v>102.46980000000001</v>
      </c>
      <c r="J15">
        <v>108.59269999999999</v>
      </c>
      <c r="K15">
        <v>115.08150000000001</v>
      </c>
      <c r="L15">
        <v>121.958</v>
      </c>
      <c r="M15">
        <f t="shared" si="1"/>
        <v>129.2476538947119</v>
      </c>
    </row>
    <row r="16" spans="1:13" x14ac:dyDescent="0.2">
      <c r="A16">
        <v>5.5</v>
      </c>
      <c r="B16">
        <v>1.0000000000000001E-5</v>
      </c>
      <c r="C16">
        <v>103.205</v>
      </c>
      <c r="D16" s="1">
        <v>8.7195019999999998E-2</v>
      </c>
      <c r="E16">
        <f t="shared" si="0"/>
        <v>81.791057224680287</v>
      </c>
      <c r="F16">
        <v>86.688239999999993</v>
      </c>
      <c r="G16">
        <v>91.877039999999994</v>
      </c>
      <c r="H16">
        <v>97.376410000000007</v>
      </c>
      <c r="I16">
        <v>103.205</v>
      </c>
      <c r="J16">
        <v>109.3824</v>
      </c>
      <c r="K16">
        <v>115.92959999999999</v>
      </c>
      <c r="L16">
        <v>122.8686</v>
      </c>
      <c r="M16">
        <f t="shared" si="1"/>
        <v>130.2253159001387</v>
      </c>
    </row>
    <row r="17" spans="1:13" x14ac:dyDescent="0.2">
      <c r="A17">
        <v>6</v>
      </c>
      <c r="B17">
        <v>1.0000000000000001E-5</v>
      </c>
      <c r="C17">
        <v>103.9359</v>
      </c>
      <c r="D17" s="1">
        <v>8.7339749999999994E-2</v>
      </c>
      <c r="E17">
        <f t="shared" si="0"/>
        <v>82.338514770949757</v>
      </c>
      <c r="F17">
        <v>87.276949999999999</v>
      </c>
      <c r="G17">
        <v>92.509900000000002</v>
      </c>
      <c r="H17">
        <v>98.056629999999998</v>
      </c>
      <c r="I17">
        <v>103.9359</v>
      </c>
      <c r="J17">
        <v>110.1677</v>
      </c>
      <c r="K17">
        <v>116.7732</v>
      </c>
      <c r="L17">
        <v>123.7747</v>
      </c>
      <c r="M17">
        <f t="shared" si="1"/>
        <v>131.19820629928029</v>
      </c>
    </row>
    <row r="18" spans="1:13" x14ac:dyDescent="0.2">
      <c r="A18">
        <v>6.5</v>
      </c>
      <c r="B18">
        <v>1.0000000000000001E-5</v>
      </c>
      <c r="C18">
        <v>104.6615</v>
      </c>
      <c r="D18" s="1">
        <v>8.7484129999999993E-2</v>
      </c>
      <c r="E18">
        <f t="shared" si="0"/>
        <v>82.881417885648858</v>
      </c>
      <c r="F18">
        <v>87.860849999999999</v>
      </c>
      <c r="G18">
        <v>93.137789999999995</v>
      </c>
      <c r="H18">
        <v>98.731660000000005</v>
      </c>
      <c r="I18">
        <v>104.6615</v>
      </c>
      <c r="J18">
        <v>110.94750000000001</v>
      </c>
      <c r="K18">
        <v>117.611</v>
      </c>
      <c r="L18">
        <v>124.6747</v>
      </c>
      <c r="M18">
        <f t="shared" si="1"/>
        <v>132.16501235749763</v>
      </c>
    </row>
    <row r="19" spans="1:13" x14ac:dyDescent="0.2">
      <c r="A19">
        <v>7</v>
      </c>
      <c r="B19">
        <v>1.0000000000000001E-5</v>
      </c>
      <c r="C19">
        <v>105.38509999999999</v>
      </c>
      <c r="D19" s="1">
        <v>8.7628259999999999E-2</v>
      </c>
      <c r="E19">
        <f t="shared" si="0"/>
        <v>83.422363206360757</v>
      </c>
      <c r="F19">
        <v>88.442790000000002</v>
      </c>
      <c r="G19">
        <v>93.763679999999994</v>
      </c>
      <c r="H19">
        <v>99.404690000000002</v>
      </c>
      <c r="I19">
        <v>105.38509999999999</v>
      </c>
      <c r="J19">
        <v>111.7253</v>
      </c>
      <c r="K19">
        <v>118.4469</v>
      </c>
      <c r="L19">
        <v>125.5729</v>
      </c>
      <c r="M19">
        <f t="shared" si="1"/>
        <v>133.12992834782074</v>
      </c>
    </row>
    <row r="20" spans="1:13" x14ac:dyDescent="0.2">
      <c r="A20">
        <v>7.5</v>
      </c>
      <c r="B20">
        <v>1.0000000000000001E-5</v>
      </c>
      <c r="C20">
        <v>106.1066</v>
      </c>
      <c r="D20" s="1">
        <v>8.7772039999999996E-2</v>
      </c>
      <c r="E20">
        <f t="shared" si="0"/>
        <v>83.961297152660379</v>
      </c>
      <c r="F20">
        <v>89.022679999999994</v>
      </c>
      <c r="G20">
        <v>94.387519999999995</v>
      </c>
      <c r="H20">
        <v>100.0757</v>
      </c>
      <c r="I20">
        <v>106.1066</v>
      </c>
      <c r="J20">
        <v>112.501</v>
      </c>
      <c r="K20">
        <v>119.2807</v>
      </c>
      <c r="L20">
        <v>126.46899999999999</v>
      </c>
      <c r="M20">
        <f t="shared" si="1"/>
        <v>134.09278769909909</v>
      </c>
    </row>
    <row r="21" spans="1:13" x14ac:dyDescent="0.2">
      <c r="A21">
        <v>8</v>
      </c>
      <c r="B21">
        <v>1.0000000000000001E-5</v>
      </c>
      <c r="C21">
        <v>106.82689999999999</v>
      </c>
      <c r="D21" s="1">
        <v>8.7915380000000001E-2</v>
      </c>
      <c r="E21">
        <f t="shared" si="0"/>
        <v>84.498955566559843</v>
      </c>
      <c r="F21">
        <v>89.601299999999995</v>
      </c>
      <c r="G21">
        <v>95.010080000000002</v>
      </c>
      <c r="H21">
        <v>100.7454</v>
      </c>
      <c r="I21">
        <v>106.82689999999999</v>
      </c>
      <c r="J21">
        <v>113.27549999999999</v>
      </c>
      <c r="K21">
        <v>120.1133</v>
      </c>
      <c r="L21">
        <v>127.364</v>
      </c>
      <c r="M21">
        <f t="shared" si="1"/>
        <v>135.05469047607798</v>
      </c>
    </row>
    <row r="22" spans="1:13" x14ac:dyDescent="0.2">
      <c r="A22">
        <v>8.5</v>
      </c>
      <c r="B22">
        <v>1.0000000000000001E-5</v>
      </c>
      <c r="C22">
        <v>107.5491</v>
      </c>
      <c r="D22" s="1">
        <v>8.8058280000000003E-2</v>
      </c>
      <c r="E22">
        <f t="shared" si="0"/>
        <v>85.037792807892359</v>
      </c>
      <c r="F22">
        <v>90.181330000000003</v>
      </c>
      <c r="G22">
        <v>95.634230000000002</v>
      </c>
      <c r="H22">
        <v>101.4169</v>
      </c>
      <c r="I22">
        <v>107.5491</v>
      </c>
      <c r="J22">
        <v>114.0522</v>
      </c>
      <c r="K22">
        <v>120.9485</v>
      </c>
      <c r="L22">
        <v>128.26169999999999</v>
      </c>
      <c r="M22">
        <f t="shared" si="1"/>
        <v>136.01955259321588</v>
      </c>
    </row>
    <row r="23" spans="1:13" x14ac:dyDescent="0.2">
      <c r="A23">
        <v>9</v>
      </c>
      <c r="B23">
        <v>1.0000000000000001E-5</v>
      </c>
      <c r="C23">
        <v>108.27670000000001</v>
      </c>
      <c r="D23" s="1">
        <v>8.8200719999999996E-2</v>
      </c>
      <c r="E23">
        <f t="shared" si="0"/>
        <v>85.580580220390544</v>
      </c>
      <c r="F23">
        <v>90.765519999999995</v>
      </c>
      <c r="G23">
        <v>96.262889999999999</v>
      </c>
      <c r="H23">
        <v>102.0932</v>
      </c>
      <c r="I23">
        <v>108.27670000000001</v>
      </c>
      <c r="J23">
        <v>114.83459999999999</v>
      </c>
      <c r="K23">
        <v>121.7898</v>
      </c>
      <c r="L23">
        <v>129.1662</v>
      </c>
      <c r="M23">
        <f t="shared" si="1"/>
        <v>136.99179469752232</v>
      </c>
    </row>
    <row r="24" spans="1:13" x14ac:dyDescent="0.2">
      <c r="A24">
        <v>9.5</v>
      </c>
      <c r="B24">
        <v>1.0000000000000001E-5</v>
      </c>
      <c r="C24">
        <v>109.0055</v>
      </c>
      <c r="D24" s="1">
        <v>8.8342249999999997E-2</v>
      </c>
      <c r="E24">
        <f t="shared" si="0"/>
        <v>86.124100173110349</v>
      </c>
      <c r="F24">
        <v>91.350610000000003</v>
      </c>
      <c r="G24">
        <v>96.892560000000003</v>
      </c>
      <c r="H24">
        <v>102.77070000000001</v>
      </c>
      <c r="I24">
        <v>109.0055</v>
      </c>
      <c r="J24">
        <v>115.6185</v>
      </c>
      <c r="K24">
        <v>122.6327</v>
      </c>
      <c r="L24">
        <v>130.07239999999999</v>
      </c>
      <c r="M24">
        <f t="shared" si="1"/>
        <v>137.9659399678124</v>
      </c>
    </row>
    <row r="25" spans="1:13" x14ac:dyDescent="0.2">
      <c r="A25">
        <v>10</v>
      </c>
      <c r="B25">
        <v>1.0000000000000001E-5</v>
      </c>
      <c r="C25">
        <v>109.7296</v>
      </c>
      <c r="D25" s="1">
        <v>8.8482329999999998E-2</v>
      </c>
      <c r="E25">
        <f t="shared" si="0"/>
        <v>86.663820821885849</v>
      </c>
      <c r="F25">
        <v>91.931700000000006</v>
      </c>
      <c r="G25">
        <v>97.518010000000004</v>
      </c>
      <c r="H25">
        <v>103.4438</v>
      </c>
      <c r="I25">
        <v>109.7296</v>
      </c>
      <c r="J25">
        <v>116.3974</v>
      </c>
      <c r="K25">
        <v>123.4704</v>
      </c>
      <c r="L25">
        <v>130.97319999999999</v>
      </c>
      <c r="M25">
        <f t="shared" si="1"/>
        <v>138.93431303687171</v>
      </c>
    </row>
    <row r="26" spans="1:13" x14ac:dyDescent="0.2">
      <c r="A26">
        <v>10.5</v>
      </c>
      <c r="B26">
        <v>1.0000000000000001E-5</v>
      </c>
      <c r="C26">
        <v>110.4453</v>
      </c>
      <c r="D26" s="1">
        <v>8.8620489999999996E-2</v>
      </c>
      <c r="E26">
        <f t="shared" si="0"/>
        <v>87.196940965864272</v>
      </c>
      <c r="F26">
        <v>92.505690000000001</v>
      </c>
      <c r="G26">
        <v>98.135919999999999</v>
      </c>
      <c r="H26">
        <v>104.1088</v>
      </c>
      <c r="I26">
        <v>110.4453</v>
      </c>
      <c r="J26">
        <v>117.1674</v>
      </c>
      <c r="K26">
        <v>124.29859999999999</v>
      </c>
      <c r="L26">
        <v>131.8638</v>
      </c>
      <c r="M26">
        <f t="shared" si="1"/>
        <v>139.89203454697449</v>
      </c>
    </row>
    <row r="27" spans="1:13" x14ac:dyDescent="0.2">
      <c r="A27">
        <v>11</v>
      </c>
      <c r="B27">
        <v>1.0000000000000001E-5</v>
      </c>
      <c r="C27">
        <v>111.1527</v>
      </c>
      <c r="D27" s="1">
        <v>8.8756479999999999E-2</v>
      </c>
      <c r="E27">
        <f t="shared" si="0"/>
        <v>87.723613764041701</v>
      </c>
      <c r="F27">
        <v>93.072940000000003</v>
      </c>
      <c r="G27">
        <v>98.746639999999999</v>
      </c>
      <c r="H27">
        <v>104.7662</v>
      </c>
      <c r="I27">
        <v>111.1527</v>
      </c>
      <c r="J27">
        <v>117.9286</v>
      </c>
      <c r="K27">
        <v>125.11750000000001</v>
      </c>
      <c r="L27">
        <v>132.74459999999999</v>
      </c>
      <c r="M27">
        <f t="shared" si="1"/>
        <v>140.83911120575215</v>
      </c>
    </row>
    <row r="28" spans="1:13" x14ac:dyDescent="0.2">
      <c r="A28">
        <v>11.5</v>
      </c>
      <c r="B28">
        <v>1.0000000000000001E-5</v>
      </c>
      <c r="C28">
        <v>111.8455</v>
      </c>
      <c r="D28" s="1">
        <v>8.8889670000000004E-2</v>
      </c>
      <c r="E28">
        <f t="shared" si="0"/>
        <v>88.239033674268086</v>
      </c>
      <c r="F28">
        <v>93.628100000000003</v>
      </c>
      <c r="G28">
        <v>99.344459999999998</v>
      </c>
      <c r="H28">
        <v>105.4098</v>
      </c>
      <c r="I28">
        <v>111.8455</v>
      </c>
      <c r="J28">
        <v>118.6741</v>
      </c>
      <c r="K28">
        <v>125.91970000000001</v>
      </c>
      <c r="L28">
        <v>133.60759999999999</v>
      </c>
      <c r="M28">
        <f t="shared" si="1"/>
        <v>141.76729185496407</v>
      </c>
    </row>
    <row r="29" spans="1:13" x14ac:dyDescent="0.2">
      <c r="A29">
        <v>12</v>
      </c>
      <c r="B29">
        <v>1.0000000000000001E-5</v>
      </c>
      <c r="C29">
        <v>112.51779999999999</v>
      </c>
      <c r="D29" s="1">
        <v>8.9019429999999997E-2</v>
      </c>
      <c r="E29">
        <f t="shared" si="0"/>
        <v>88.738720711722124</v>
      </c>
      <c r="F29">
        <v>94.166380000000004</v>
      </c>
      <c r="G29">
        <v>99.924260000000004</v>
      </c>
      <c r="H29">
        <v>106.0342</v>
      </c>
      <c r="I29">
        <v>112.51779999999999</v>
      </c>
      <c r="J29">
        <v>119.3977</v>
      </c>
      <c r="K29">
        <v>126.69840000000001</v>
      </c>
      <c r="L29">
        <v>134.44550000000001</v>
      </c>
      <c r="M29">
        <f t="shared" si="1"/>
        <v>142.66881558700791</v>
      </c>
    </row>
    <row r="30" spans="1:13" x14ac:dyDescent="0.2">
      <c r="A30">
        <v>12.5</v>
      </c>
      <c r="B30">
        <v>1.0000000000000001E-5</v>
      </c>
      <c r="C30">
        <v>113.16670000000001</v>
      </c>
      <c r="D30" s="1">
        <v>8.9145370000000002E-2</v>
      </c>
      <c r="E30">
        <f t="shared" si="0"/>
        <v>89.220512013753293</v>
      </c>
      <c r="F30">
        <v>94.685649999999995</v>
      </c>
      <c r="G30">
        <v>100.4837</v>
      </c>
      <c r="H30">
        <v>106.63679999999999</v>
      </c>
      <c r="I30">
        <v>113.16670000000001</v>
      </c>
      <c r="J30">
        <v>120.09650000000001</v>
      </c>
      <c r="K30">
        <v>127.45059999999999</v>
      </c>
      <c r="L30">
        <v>135.255</v>
      </c>
      <c r="M30">
        <f t="shared" si="1"/>
        <v>143.53980335686555</v>
      </c>
    </row>
    <row r="31" spans="1:13" x14ac:dyDescent="0.2">
      <c r="A31">
        <v>13</v>
      </c>
      <c r="B31">
        <v>1.0000000000000001E-5</v>
      </c>
      <c r="C31">
        <v>113.7903</v>
      </c>
      <c r="D31" s="1">
        <v>8.9267120000000005E-2</v>
      </c>
      <c r="E31">
        <f t="shared" si="0"/>
        <v>89.68303209570027</v>
      </c>
      <c r="F31">
        <v>95.184240000000003</v>
      </c>
      <c r="G31">
        <v>101.021</v>
      </c>
      <c r="H31">
        <v>107.2158</v>
      </c>
      <c r="I31">
        <v>113.7903</v>
      </c>
      <c r="J31">
        <v>120.7681</v>
      </c>
      <c r="K31">
        <v>128.1737</v>
      </c>
      <c r="L31">
        <v>136.0334</v>
      </c>
      <c r="M31">
        <f t="shared" si="1"/>
        <v>144.37764571882602</v>
      </c>
    </row>
    <row r="32" spans="1:13" x14ac:dyDescent="0.2">
      <c r="A32">
        <v>13.5</v>
      </c>
      <c r="B32">
        <v>1.0000000000000001E-5</v>
      </c>
      <c r="C32">
        <v>114.38720000000001</v>
      </c>
      <c r="D32" s="1">
        <v>8.9384379999999999E-2</v>
      </c>
      <c r="E32">
        <f t="shared" si="0"/>
        <v>90.125285098586986</v>
      </c>
      <c r="F32">
        <v>95.661109999999994</v>
      </c>
      <c r="G32">
        <v>101.5351</v>
      </c>
      <c r="H32">
        <v>107.7697</v>
      </c>
      <c r="I32">
        <v>114.38720000000001</v>
      </c>
      <c r="J32">
        <v>121.4111</v>
      </c>
      <c r="K32">
        <v>128.86619999999999</v>
      </c>
      <c r="L32">
        <v>136.7791</v>
      </c>
      <c r="M32">
        <f t="shared" si="1"/>
        <v>145.18039053795681</v>
      </c>
    </row>
    <row r="33" spans="1:13" x14ac:dyDescent="0.2">
      <c r="A33">
        <v>14</v>
      </c>
      <c r="B33">
        <v>1.0000000000000001E-5</v>
      </c>
      <c r="C33">
        <v>114.959</v>
      </c>
      <c r="D33" s="1">
        <v>8.9497119999999999E-2</v>
      </c>
      <c r="E33">
        <f t="shared" si="0"/>
        <v>90.548574285211274</v>
      </c>
      <c r="F33">
        <v>96.117570000000001</v>
      </c>
      <c r="G33">
        <v>102.02719999999999</v>
      </c>
      <c r="H33">
        <v>108.30029999999999</v>
      </c>
      <c r="I33">
        <v>114.959</v>
      </c>
      <c r="J33">
        <v>122.0271</v>
      </c>
      <c r="K33">
        <v>129.52979999999999</v>
      </c>
      <c r="L33">
        <v>137.49369999999999</v>
      </c>
      <c r="M33">
        <f t="shared" si="1"/>
        <v>145.9499970717761</v>
      </c>
    </row>
    <row r="34" spans="1:13" x14ac:dyDescent="0.2">
      <c r="A34">
        <v>14.5</v>
      </c>
      <c r="B34">
        <v>1.0000000000000001E-5</v>
      </c>
      <c r="C34">
        <v>115.50839999999999</v>
      </c>
      <c r="D34" s="1">
        <v>8.9605480000000001E-2</v>
      </c>
      <c r="E34">
        <f t="shared" si="0"/>
        <v>90.955025027584682</v>
      </c>
      <c r="F34">
        <v>96.556049999999999</v>
      </c>
      <c r="G34">
        <v>102.5001</v>
      </c>
      <c r="H34">
        <v>108.81</v>
      </c>
      <c r="I34">
        <v>115.50839999999999</v>
      </c>
      <c r="J34">
        <v>122.61920000000001</v>
      </c>
      <c r="K34">
        <v>130.1677</v>
      </c>
      <c r="L34">
        <v>138.18090000000001</v>
      </c>
      <c r="M34">
        <f t="shared" si="1"/>
        <v>146.68989257864476</v>
      </c>
    </row>
    <row r="35" spans="1:13" x14ac:dyDescent="0.2">
      <c r="A35">
        <v>15</v>
      </c>
      <c r="B35">
        <v>1.0000000000000001E-5</v>
      </c>
      <c r="C35">
        <v>116.03700000000001</v>
      </c>
      <c r="D35" s="1">
        <v>8.9709510000000006E-2</v>
      </c>
      <c r="E35">
        <f t="shared" si="0"/>
        <v>91.345914330801932</v>
      </c>
      <c r="F35">
        <v>96.977689999999996</v>
      </c>
      <c r="G35">
        <v>102.95480000000001</v>
      </c>
      <c r="H35">
        <v>109.30029999999999</v>
      </c>
      <c r="I35">
        <v>116.03700000000001</v>
      </c>
      <c r="J35">
        <v>123.1888</v>
      </c>
      <c r="K35">
        <v>130.78139999999999</v>
      </c>
      <c r="L35">
        <v>138.84200000000001</v>
      </c>
      <c r="M35">
        <f t="shared" si="1"/>
        <v>147.40207879300763</v>
      </c>
    </row>
    <row r="36" spans="1:13" x14ac:dyDescent="0.2">
      <c r="A36">
        <v>15.5</v>
      </c>
      <c r="B36">
        <v>1.0000000000000001E-5</v>
      </c>
      <c r="C36">
        <v>116.5441</v>
      </c>
      <c r="D36" s="1">
        <v>8.9809159999999999E-2</v>
      </c>
      <c r="E36">
        <f t="shared" si="0"/>
        <v>91.720730789970673</v>
      </c>
      <c r="F36">
        <v>97.382130000000004</v>
      </c>
      <c r="G36">
        <v>103.39109999999999</v>
      </c>
      <c r="H36">
        <v>109.77079999999999</v>
      </c>
      <c r="I36">
        <v>116.5441</v>
      </c>
      <c r="J36">
        <v>123.7354</v>
      </c>
      <c r="K36">
        <v>131.37049999999999</v>
      </c>
      <c r="L36">
        <v>139.47669999999999</v>
      </c>
      <c r="M36">
        <f t="shared" si="1"/>
        <v>148.08560001091476</v>
      </c>
    </row>
    <row r="37" spans="1:13" x14ac:dyDescent="0.2">
      <c r="A37">
        <v>16</v>
      </c>
      <c r="B37">
        <v>1.0000000000000001E-5</v>
      </c>
      <c r="C37">
        <v>117.0224</v>
      </c>
      <c r="D37" s="1">
        <v>8.9903620000000004E-2</v>
      </c>
      <c r="E37">
        <f t="shared" si="0"/>
        <v>92.073956348855106</v>
      </c>
      <c r="F37">
        <v>97.763300000000001</v>
      </c>
      <c r="G37">
        <v>103.8023</v>
      </c>
      <c r="H37">
        <v>110.21429999999999</v>
      </c>
      <c r="I37">
        <v>117.0224</v>
      </c>
      <c r="J37">
        <v>124.25109999999999</v>
      </c>
      <c r="K37">
        <v>131.92619999999999</v>
      </c>
      <c r="L37">
        <v>140.07550000000001</v>
      </c>
      <c r="M37">
        <f t="shared" si="1"/>
        <v>148.73081131553079</v>
      </c>
    </row>
    <row r="38" spans="1:13" x14ac:dyDescent="0.2">
      <c r="A38">
        <v>16.5</v>
      </c>
      <c r="B38">
        <v>1.0000000000000001E-5</v>
      </c>
      <c r="C38">
        <v>117.4644</v>
      </c>
      <c r="D38" s="1">
        <v>8.9992020000000006E-2</v>
      </c>
      <c r="E38">
        <f t="shared" si="0"/>
        <v>92.3999376244399</v>
      </c>
      <c r="F38">
        <v>98.115210000000005</v>
      </c>
      <c r="G38">
        <v>104.18210000000001</v>
      </c>
      <c r="H38">
        <v>110.6241</v>
      </c>
      <c r="I38">
        <v>117.4644</v>
      </c>
      <c r="J38">
        <v>124.7277</v>
      </c>
      <c r="K38">
        <v>132.4401</v>
      </c>
      <c r="L38">
        <v>140.62950000000001</v>
      </c>
      <c r="M38">
        <f t="shared" si="1"/>
        <v>149.32777741998672</v>
      </c>
    </row>
    <row r="39" spans="1:13" x14ac:dyDescent="0.2">
      <c r="A39">
        <v>17</v>
      </c>
      <c r="B39">
        <v>1.0000000000000001E-5</v>
      </c>
      <c r="C39">
        <v>117.8682</v>
      </c>
      <c r="D39" s="1">
        <v>9.0074020000000005E-2</v>
      </c>
      <c r="E39">
        <f t="shared" si="0"/>
        <v>92.697300485629768</v>
      </c>
      <c r="F39">
        <v>98.436310000000006</v>
      </c>
      <c r="G39">
        <v>104.5287</v>
      </c>
      <c r="H39">
        <v>110.9982</v>
      </c>
      <c r="I39">
        <v>117.8682</v>
      </c>
      <c r="J39">
        <v>125.16330000000001</v>
      </c>
      <c r="K39">
        <v>132.90989999999999</v>
      </c>
      <c r="L39">
        <v>141.136</v>
      </c>
      <c r="M39">
        <f t="shared" si="1"/>
        <v>149.87388501034141</v>
      </c>
    </row>
    <row r="40" spans="1:13" x14ac:dyDescent="0.2">
      <c r="A40">
        <v>17.5</v>
      </c>
      <c r="B40">
        <v>1.0000000000000001E-5</v>
      </c>
      <c r="C40">
        <v>118.23439999999999</v>
      </c>
      <c r="D40" s="1">
        <v>9.0149569999999998E-2</v>
      </c>
      <c r="E40">
        <f t="shared" si="0"/>
        <v>92.966564086990203</v>
      </c>
      <c r="F40">
        <v>98.727249999999998</v>
      </c>
      <c r="G40">
        <v>104.843</v>
      </c>
      <c r="H40">
        <v>111.33750000000001</v>
      </c>
      <c r="I40">
        <v>118.23439999999999</v>
      </c>
      <c r="J40">
        <v>125.5585</v>
      </c>
      <c r="K40">
        <v>133.33629999999999</v>
      </c>
      <c r="L40">
        <v>141.5959</v>
      </c>
      <c r="M40">
        <f t="shared" si="1"/>
        <v>150.36981736097121</v>
      </c>
    </row>
    <row r="41" spans="1:13" x14ac:dyDescent="0.2">
      <c r="A41">
        <v>18</v>
      </c>
      <c r="B41">
        <v>1.0000000000000001E-5</v>
      </c>
      <c r="C41">
        <v>118.5658</v>
      </c>
      <c r="D41" s="1">
        <v>9.0218909999999999E-2</v>
      </c>
      <c r="E41">
        <f t="shared" si="0"/>
        <v>93.209901776409808</v>
      </c>
      <c r="F41">
        <v>98.990229999999997</v>
      </c>
      <c r="G41">
        <v>105.1271</v>
      </c>
      <c r="H41">
        <v>111.6444</v>
      </c>
      <c r="I41">
        <v>118.5658</v>
      </c>
      <c r="J41">
        <v>125.9162</v>
      </c>
      <c r="K41">
        <v>133.72239999999999</v>
      </c>
      <c r="L41">
        <v>142.01249999999999</v>
      </c>
      <c r="M41">
        <f t="shared" si="1"/>
        <v>150.81917825179204</v>
      </c>
    </row>
    <row r="42" spans="1:13" x14ac:dyDescent="0.2">
      <c r="A42">
        <v>18.5</v>
      </c>
      <c r="B42">
        <v>1.0000000000000001E-5</v>
      </c>
      <c r="C42">
        <v>118.8664</v>
      </c>
      <c r="D42" s="1">
        <v>9.0282559999999998E-2</v>
      </c>
      <c r="E42">
        <f t="shared" si="0"/>
        <v>93.430355327618429</v>
      </c>
      <c r="F42">
        <v>99.2286</v>
      </c>
      <c r="G42">
        <v>105.3847</v>
      </c>
      <c r="H42">
        <v>111.9228</v>
      </c>
      <c r="I42">
        <v>118.8664</v>
      </c>
      <c r="J42">
        <v>126.2409</v>
      </c>
      <c r="K42">
        <v>134.0728</v>
      </c>
      <c r="L42">
        <v>142.39070000000001</v>
      </c>
      <c r="M42">
        <f t="shared" si="1"/>
        <v>151.22721954336464</v>
      </c>
    </row>
    <row r="43" spans="1:13" x14ac:dyDescent="0.2">
      <c r="A43">
        <v>19</v>
      </c>
      <c r="B43">
        <v>1.0000000000000001E-5</v>
      </c>
      <c r="C43">
        <v>119.1404</v>
      </c>
      <c r="D43" s="1">
        <v>9.0341119999999997E-2</v>
      </c>
      <c r="E43">
        <f t="shared" si="0"/>
        <v>93.631098037346774</v>
      </c>
      <c r="F43">
        <v>99.445700000000002</v>
      </c>
      <c r="G43">
        <v>105.6194</v>
      </c>
      <c r="H43">
        <v>112.1764</v>
      </c>
      <c r="I43">
        <v>119.1404</v>
      </c>
      <c r="J43">
        <v>126.5368</v>
      </c>
      <c r="K43">
        <v>134.39240000000001</v>
      </c>
      <c r="L43">
        <v>142.73570000000001</v>
      </c>
      <c r="M43">
        <f t="shared" si="1"/>
        <v>151.59948958954794</v>
      </c>
    </row>
    <row r="44" spans="1:13" x14ac:dyDescent="0.2">
      <c r="A44">
        <v>19.5</v>
      </c>
      <c r="B44">
        <v>1.0000000000000001E-5</v>
      </c>
      <c r="C44">
        <v>119.39149999999999</v>
      </c>
      <c r="D44" s="1">
        <v>9.0395169999999997E-2</v>
      </c>
      <c r="E44">
        <f t="shared" si="0"/>
        <v>93.814910144254583</v>
      </c>
      <c r="F44">
        <v>99.644440000000003</v>
      </c>
      <c r="G44">
        <v>105.8343</v>
      </c>
      <c r="H44">
        <v>112.4087</v>
      </c>
      <c r="I44">
        <v>119.39149999999999</v>
      </c>
      <c r="J44">
        <v>126.80800000000001</v>
      </c>
      <c r="K44">
        <v>134.68530000000001</v>
      </c>
      <c r="L44">
        <v>143.05179999999999</v>
      </c>
      <c r="M44">
        <f t="shared" si="1"/>
        <v>151.94090113556283</v>
      </c>
    </row>
    <row r="45" spans="1:13" x14ac:dyDescent="0.2">
      <c r="A45">
        <v>20</v>
      </c>
      <c r="B45">
        <v>1.0000000000000001E-5</v>
      </c>
      <c r="C45">
        <v>119.6228</v>
      </c>
      <c r="D45" s="1">
        <v>9.0445289999999998E-2</v>
      </c>
      <c r="E45">
        <f t="shared" si="0"/>
        <v>93.984096279817734</v>
      </c>
      <c r="F45">
        <v>99.827510000000004</v>
      </c>
      <c r="G45">
        <v>106.03230000000001</v>
      </c>
      <c r="H45">
        <v>112.62269999999999</v>
      </c>
      <c r="I45">
        <v>119.6228</v>
      </c>
      <c r="J45">
        <v>127.05800000000001</v>
      </c>
      <c r="K45">
        <v>134.95519999999999</v>
      </c>
      <c r="L45">
        <v>143.3434</v>
      </c>
      <c r="M45">
        <f t="shared" si="1"/>
        <v>152.25561047281917</v>
      </c>
    </row>
    <row r="46" spans="1:13" x14ac:dyDescent="0.2">
      <c r="A46">
        <v>20.5</v>
      </c>
      <c r="B46">
        <v>1.0000000000000001E-5</v>
      </c>
      <c r="C46">
        <v>119.8386</v>
      </c>
      <c r="D46" s="1">
        <v>9.0492260000000005E-2</v>
      </c>
      <c r="E46">
        <f t="shared" si="0"/>
        <v>94.141850135717362</v>
      </c>
      <c r="F46">
        <v>99.99821</v>
      </c>
      <c r="G46">
        <v>106.2169</v>
      </c>
      <c r="H46">
        <v>112.8224</v>
      </c>
      <c r="I46">
        <v>119.8386</v>
      </c>
      <c r="J46">
        <v>127.2912</v>
      </c>
      <c r="K46">
        <v>135.2072</v>
      </c>
      <c r="L46">
        <v>143.6155</v>
      </c>
      <c r="M46">
        <f t="shared" si="1"/>
        <v>152.54938865306514</v>
      </c>
    </row>
    <row r="47" spans="1:13" x14ac:dyDescent="0.2">
      <c r="A47">
        <v>21</v>
      </c>
      <c r="B47">
        <v>1.0000000000000001E-5</v>
      </c>
      <c r="C47">
        <v>120.0425</v>
      </c>
      <c r="D47" s="1">
        <v>9.0536770000000003E-2</v>
      </c>
      <c r="E47">
        <f t="shared" si="0"/>
        <v>94.290834485602829</v>
      </c>
      <c r="F47">
        <v>100.15949999999999</v>
      </c>
      <c r="G47">
        <v>106.3914</v>
      </c>
      <c r="H47">
        <v>113.011</v>
      </c>
      <c r="I47">
        <v>120.0425</v>
      </c>
      <c r="J47">
        <v>127.5116</v>
      </c>
      <c r="K47">
        <v>135.4453</v>
      </c>
      <c r="L47">
        <v>143.87270000000001</v>
      </c>
      <c r="M47">
        <f t="shared" si="1"/>
        <v>152.82708529611833</v>
      </c>
    </row>
    <row r="48" spans="1:13" x14ac:dyDescent="0.2">
      <c r="A48">
        <v>21.5</v>
      </c>
      <c r="B48">
        <v>1.0000000000000001E-5</v>
      </c>
      <c r="C48">
        <v>120.2381</v>
      </c>
      <c r="D48" s="1">
        <v>9.0579519999999997E-2</v>
      </c>
      <c r="E48">
        <f t="shared" si="0"/>
        <v>94.433706703375279</v>
      </c>
      <c r="F48">
        <v>100.31399999999999</v>
      </c>
      <c r="G48">
        <v>106.5586</v>
      </c>
      <c r="H48">
        <v>113.1919</v>
      </c>
      <c r="I48">
        <v>120.2381</v>
      </c>
      <c r="J48">
        <v>127.7229</v>
      </c>
      <c r="K48">
        <v>135.67359999999999</v>
      </c>
      <c r="L48">
        <v>144.11930000000001</v>
      </c>
      <c r="M48">
        <f t="shared" si="1"/>
        <v>153.09355905958583</v>
      </c>
    </row>
    <row r="49" spans="1:13" x14ac:dyDescent="0.2">
      <c r="A49">
        <v>22</v>
      </c>
      <c r="B49">
        <v>1.0000000000000001E-5</v>
      </c>
      <c r="C49">
        <v>120.4281</v>
      </c>
      <c r="D49" s="1">
        <v>9.0621110000000005E-2</v>
      </c>
      <c r="E49">
        <f t="shared" si="0"/>
        <v>94.572440021638059</v>
      </c>
      <c r="F49">
        <v>100.46420000000001</v>
      </c>
      <c r="G49">
        <v>106.72110000000001</v>
      </c>
      <c r="H49">
        <v>113.3676</v>
      </c>
      <c r="I49">
        <v>120.4281</v>
      </c>
      <c r="J49">
        <v>127.92829999999999</v>
      </c>
      <c r="K49">
        <v>135.8956</v>
      </c>
      <c r="L49">
        <v>144.35910000000001</v>
      </c>
      <c r="M49">
        <f t="shared" si="1"/>
        <v>153.35248614492224</v>
      </c>
    </row>
    <row r="50" spans="1:13" x14ac:dyDescent="0.2">
      <c r="A50">
        <v>22.5</v>
      </c>
      <c r="B50">
        <v>1.0000000000000001E-5</v>
      </c>
      <c r="C50">
        <v>120.6143</v>
      </c>
      <c r="D50" s="1">
        <v>9.0661909999999998E-2</v>
      </c>
      <c r="E50">
        <f t="shared" si="0"/>
        <v>94.708357129794564</v>
      </c>
      <c r="F50">
        <v>100.6113</v>
      </c>
      <c r="G50">
        <v>106.8802</v>
      </c>
      <c r="H50">
        <v>113.5398</v>
      </c>
      <c r="I50">
        <v>120.6143</v>
      </c>
      <c r="J50">
        <v>128.12950000000001</v>
      </c>
      <c r="K50">
        <v>136.1131</v>
      </c>
      <c r="L50">
        <v>144.5941</v>
      </c>
      <c r="M50">
        <f t="shared" si="1"/>
        <v>153.60630571579108</v>
      </c>
    </row>
    <row r="51" spans="1:13" x14ac:dyDescent="0.2">
      <c r="A51">
        <v>23</v>
      </c>
      <c r="B51">
        <v>1.0000000000000001E-5</v>
      </c>
      <c r="C51">
        <v>120.7976</v>
      </c>
      <c r="D51" s="1">
        <v>9.0702089999999999E-2</v>
      </c>
      <c r="E51">
        <f t="shared" si="0"/>
        <v>94.842123485900686</v>
      </c>
      <c r="F51">
        <v>100.7561</v>
      </c>
      <c r="G51">
        <v>107.03700000000001</v>
      </c>
      <c r="H51">
        <v>113.7093</v>
      </c>
      <c r="I51">
        <v>120.7976</v>
      </c>
      <c r="J51">
        <v>128.3278</v>
      </c>
      <c r="K51">
        <v>136.32730000000001</v>
      </c>
      <c r="L51">
        <v>144.82550000000001</v>
      </c>
      <c r="M51">
        <f t="shared" si="1"/>
        <v>153.85623065603428</v>
      </c>
    </row>
    <row r="52" spans="1:13" x14ac:dyDescent="0.2">
      <c r="A52">
        <v>23.5</v>
      </c>
      <c r="B52">
        <v>1.0000000000000001E-5</v>
      </c>
      <c r="C52">
        <v>120.9798</v>
      </c>
      <c r="D52" s="1">
        <v>9.0742050000000005E-2</v>
      </c>
      <c r="E52">
        <f t="shared" si="0"/>
        <v>94.975052259915941</v>
      </c>
      <c r="F52">
        <v>100.90009999999999</v>
      </c>
      <c r="G52">
        <v>107.1927</v>
      </c>
      <c r="H52">
        <v>113.87779999999999</v>
      </c>
      <c r="I52">
        <v>120.9798</v>
      </c>
      <c r="J52">
        <v>128.5248</v>
      </c>
      <c r="K52">
        <v>136.5402</v>
      </c>
      <c r="L52">
        <v>145.0556</v>
      </c>
      <c r="M52">
        <f t="shared" si="1"/>
        <v>154.10471579438754</v>
      </c>
    </row>
    <row r="53" spans="1:13" x14ac:dyDescent="0.2">
      <c r="A53">
        <v>24</v>
      </c>
      <c r="B53">
        <v>1.0000000000000001E-5</v>
      </c>
      <c r="C53">
        <v>121.1619</v>
      </c>
      <c r="D53" s="1">
        <v>9.0781979999999998E-2</v>
      </c>
      <c r="E53">
        <f t="shared" si="0"/>
        <v>95.107880737330021</v>
      </c>
      <c r="F53">
        <v>101.04389999999999</v>
      </c>
      <c r="G53">
        <v>107.3484</v>
      </c>
      <c r="H53">
        <v>114.0462</v>
      </c>
      <c r="I53">
        <v>121.1619</v>
      </c>
      <c r="J53">
        <v>128.7216</v>
      </c>
      <c r="K53">
        <v>136.75309999999999</v>
      </c>
      <c r="L53">
        <v>145.28550000000001</v>
      </c>
      <c r="M53">
        <f t="shared" si="1"/>
        <v>154.35311240536657</v>
      </c>
    </row>
    <row r="54" spans="1:13" x14ac:dyDescent="0.2">
      <c r="C54">
        <v>140</v>
      </c>
      <c r="D54" s="2">
        <f>((C54/C53)^B53-1)/(B53*D53)</f>
        <v>1.5918892632342883</v>
      </c>
      <c r="E54" s="6">
        <f>100*NORMSDIST(D54)</f>
        <v>94.42952057778507</v>
      </c>
    </row>
  </sheetData>
  <phoneticPr fontId="1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AD20-583E-8543-8F6F-06756D86ABEF}">
  <dimension ref="A1:P58"/>
  <sheetViews>
    <sheetView topLeftCell="A6" workbookViewId="0">
      <selection activeCell="O12" sqref="O12:O13"/>
    </sheetView>
  </sheetViews>
  <sheetFormatPr baseColWidth="10" defaultColWidth="11.5" defaultRowHeight="13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A3" t="s">
        <v>2</v>
      </c>
    </row>
    <row r="4" spans="1:16" x14ac:dyDescent="0.2">
      <c r="A4" t="s">
        <v>3</v>
      </c>
    </row>
    <row r="5" spans="1:16" x14ac:dyDescent="0.2">
      <c r="A5" t="s">
        <v>15</v>
      </c>
    </row>
    <row r="6" spans="1:16" x14ac:dyDescent="0.2">
      <c r="A6" t="s">
        <v>5</v>
      </c>
    </row>
    <row r="7" spans="1:16" x14ac:dyDescent="0.2">
      <c r="A7" t="s">
        <v>6</v>
      </c>
    </row>
    <row r="8" spans="1:16" x14ac:dyDescent="0.2">
      <c r="A8" t="s">
        <v>16</v>
      </c>
    </row>
    <row r="9" spans="1:16" x14ac:dyDescent="0.2">
      <c r="A9" t="s">
        <v>8</v>
      </c>
      <c r="B9" t="s">
        <v>9</v>
      </c>
      <c r="C9" t="s">
        <v>10</v>
      </c>
      <c r="D9" t="s">
        <v>11</v>
      </c>
    </row>
    <row r="10" spans="1:16" x14ac:dyDescent="0.2">
      <c r="A10" t="s">
        <v>12</v>
      </c>
      <c r="B10">
        <v>0</v>
      </c>
      <c r="C10">
        <v>5</v>
      </c>
      <c r="D10">
        <v>1</v>
      </c>
    </row>
    <row r="12" spans="1:16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  <c r="O12" s="2">
        <f>NORMSINV(0.025)</f>
        <v>-1.9599639845400538</v>
      </c>
      <c r="P12" s="2">
        <f>NORMSINV(1-0.025)</f>
        <v>1.9599639845400536</v>
      </c>
    </row>
    <row r="13" spans="1:16" x14ac:dyDescent="0.2">
      <c r="A13">
        <v>4</v>
      </c>
      <c r="B13">
        <v>0.5</v>
      </c>
      <c r="C13">
        <v>54.559310000000004</v>
      </c>
      <c r="D13">
        <v>0.1452541</v>
      </c>
      <c r="E13">
        <f>C13*(1+(B13*D13*-2.667))^(1/B13)</f>
        <v>35.470403513161813</v>
      </c>
      <c r="F13">
        <v>39.859839999999998</v>
      </c>
      <c r="G13">
        <v>44.503830000000001</v>
      </c>
      <c r="H13">
        <v>49.403660000000002</v>
      </c>
      <c r="I13">
        <v>54.559310000000004</v>
      </c>
      <c r="J13">
        <v>59.970799999999997</v>
      </c>
      <c r="K13">
        <v>65.638120000000001</v>
      </c>
      <c r="L13">
        <v>71.561269999999993</v>
      </c>
      <c r="M13" s="3">
        <f>$C13*(1+($B13*$D13*M$12))^(1/$B13)</f>
        <v>77.742158665720922</v>
      </c>
      <c r="N13" s="3"/>
      <c r="O13" s="5">
        <f>$C13*(1+($B13*$D13*O$12))^(1/$B13)</f>
        <v>40.132174942015588</v>
      </c>
      <c r="P13" s="5">
        <f>$C13*(1+($B13*$D13*P$12))^(1/$B13)</f>
        <v>71.197460904636984</v>
      </c>
    </row>
    <row r="14" spans="1:16" x14ac:dyDescent="0.2">
      <c r="A14">
        <v>4.5</v>
      </c>
      <c r="B14">
        <v>0.5</v>
      </c>
      <c r="C14">
        <v>54.720149999999997</v>
      </c>
      <c r="D14">
        <v>0.1452541</v>
      </c>
      <c r="E14">
        <f t="shared" ref="E14:E53" si="0">C14*(1+(B14*D14*-2.667))^(1/B14)</f>
        <v>35.574969712790377</v>
      </c>
      <c r="F14">
        <v>39.977350000000001</v>
      </c>
      <c r="G14">
        <v>44.63503</v>
      </c>
      <c r="H14">
        <v>49.549289999999999</v>
      </c>
      <c r="I14">
        <v>54.720149999999997</v>
      </c>
      <c r="J14">
        <v>60.147590000000001</v>
      </c>
      <c r="K14">
        <v>65.831620000000001</v>
      </c>
      <c r="L14">
        <v>71.772229999999993</v>
      </c>
      <c r="M14" s="3">
        <f t="shared" ref="M14:M53" si="1">C14*(1+(B14*D14*2.667))^(1/B14)</f>
        <v>77.971341344163775</v>
      </c>
      <c r="O14" s="5">
        <f t="shared" ref="O14:P53" si="2">$C14*(1+($B14*$D14*O$12))^(1/$B14)</f>
        <v>40.250483971540952</v>
      </c>
      <c r="P14" s="5">
        <f t="shared" si="2"/>
        <v>71.407349915548252</v>
      </c>
    </row>
    <row r="15" spans="1:16" x14ac:dyDescent="0.2">
      <c r="A15">
        <v>5</v>
      </c>
      <c r="B15">
        <v>0.5</v>
      </c>
      <c r="C15">
        <v>54.881349999999998</v>
      </c>
      <c r="D15">
        <v>0.1452541</v>
      </c>
      <c r="E15">
        <f t="shared" si="0"/>
        <v>35.679769957630747</v>
      </c>
      <c r="F15">
        <v>40.095120000000001</v>
      </c>
      <c r="G15">
        <v>44.76652</v>
      </c>
      <c r="H15">
        <v>49.695259999999998</v>
      </c>
      <c r="I15">
        <v>54.881349999999998</v>
      </c>
      <c r="J15">
        <v>60.324779999999997</v>
      </c>
      <c r="K15">
        <v>66.025549999999996</v>
      </c>
      <c r="L15">
        <v>71.983670000000004</v>
      </c>
      <c r="M15" s="3">
        <f t="shared" si="1"/>
        <v>78.20103699055143</v>
      </c>
      <c r="O15" s="5">
        <f t="shared" si="2"/>
        <v>40.369057806156036</v>
      </c>
      <c r="P15" s="5">
        <f t="shared" si="2"/>
        <v>71.617708710368561</v>
      </c>
    </row>
    <row r="16" spans="1:16" x14ac:dyDescent="0.2">
      <c r="A16">
        <v>5.5</v>
      </c>
      <c r="B16">
        <v>0.5</v>
      </c>
      <c r="C16">
        <v>55.043579999999999</v>
      </c>
      <c r="D16">
        <v>0.1452541</v>
      </c>
      <c r="E16">
        <f t="shared" si="0"/>
        <v>35.785239831827106</v>
      </c>
      <c r="F16">
        <v>40.213630000000002</v>
      </c>
      <c r="G16">
        <v>44.898850000000003</v>
      </c>
      <c r="H16">
        <v>49.84216</v>
      </c>
      <c r="I16">
        <v>55.043579999999999</v>
      </c>
      <c r="J16">
        <v>60.503100000000003</v>
      </c>
      <c r="K16">
        <v>66.22072</v>
      </c>
      <c r="L16">
        <v>72.196449999999999</v>
      </c>
      <c r="M16" s="3">
        <f t="shared" si="1"/>
        <v>78.432200295225556</v>
      </c>
      <c r="O16" s="5">
        <f t="shared" si="2"/>
        <v>40.488389277555569</v>
      </c>
      <c r="P16" s="5">
        <f t="shared" si="2"/>
        <v>71.82941160915081</v>
      </c>
    </row>
    <row r="17" spans="1:16" x14ac:dyDescent="0.2">
      <c r="A17">
        <v>6</v>
      </c>
      <c r="B17">
        <v>0.5</v>
      </c>
      <c r="C17">
        <v>55.207979999999999</v>
      </c>
      <c r="D17">
        <v>0.1452541</v>
      </c>
      <c r="E17">
        <f t="shared" si="0"/>
        <v>35.892120478550169</v>
      </c>
      <c r="F17">
        <v>40.333750000000002</v>
      </c>
      <c r="G17">
        <v>45.03295</v>
      </c>
      <c r="H17">
        <v>49.991030000000002</v>
      </c>
      <c r="I17">
        <v>55.207979999999999</v>
      </c>
      <c r="J17">
        <v>60.683810000000001</v>
      </c>
      <c r="K17">
        <v>66.418509999999998</v>
      </c>
      <c r="L17">
        <v>72.412090000000006</v>
      </c>
      <c r="M17" s="3">
        <f t="shared" si="1"/>
        <v>78.666455656677968</v>
      </c>
      <c r="O17" s="5">
        <f t="shared" si="2"/>
        <v>40.6093169351903</v>
      </c>
      <c r="P17" s="5">
        <f t="shared" si="2"/>
        <v>72.04394626094026</v>
      </c>
    </row>
    <row r="18" spans="1:16" x14ac:dyDescent="0.2">
      <c r="A18">
        <v>6.5</v>
      </c>
      <c r="B18">
        <v>0.5</v>
      </c>
      <c r="C18">
        <v>55.3735</v>
      </c>
      <c r="D18">
        <v>0.1452541</v>
      </c>
      <c r="E18">
        <f t="shared" si="0"/>
        <v>35.999729265932167</v>
      </c>
      <c r="F18">
        <v>40.45467</v>
      </c>
      <c r="G18">
        <v>45.167960000000001</v>
      </c>
      <c r="H18">
        <v>50.140909999999998</v>
      </c>
      <c r="I18">
        <v>55.3735</v>
      </c>
      <c r="J18">
        <v>60.865749999999998</v>
      </c>
      <c r="K18">
        <v>66.617639999999994</v>
      </c>
      <c r="L18">
        <v>72.629189999999994</v>
      </c>
      <c r="M18" s="3">
        <f t="shared" si="1"/>
        <v>78.902306918403056</v>
      </c>
      <c r="O18" s="5">
        <f t="shared" si="2"/>
        <v>40.731068430881919</v>
      </c>
      <c r="P18" s="5">
        <f t="shared" si="2"/>
        <v>72.259942462668903</v>
      </c>
    </row>
    <row r="19" spans="1:16" x14ac:dyDescent="0.2">
      <c r="A19">
        <v>7</v>
      </c>
      <c r="B19">
        <v>0.5</v>
      </c>
      <c r="C19">
        <v>55.54007</v>
      </c>
      <c r="D19">
        <v>0.1452541</v>
      </c>
      <c r="E19">
        <f t="shared" si="0"/>
        <v>36.10802068518192</v>
      </c>
      <c r="F19">
        <v>40.576360000000001</v>
      </c>
      <c r="G19">
        <v>45.303829999999998</v>
      </c>
      <c r="H19">
        <v>50.291739999999997</v>
      </c>
      <c r="I19">
        <v>55.54007</v>
      </c>
      <c r="J19">
        <v>61.048839999999998</v>
      </c>
      <c r="K19">
        <v>66.818029999999993</v>
      </c>
      <c r="L19">
        <v>72.847660000000005</v>
      </c>
      <c r="M19" s="3">
        <f t="shared" si="1"/>
        <v>79.139654336633768</v>
      </c>
      <c r="O19" s="5">
        <f t="shared" si="2"/>
        <v>40.853592274751854</v>
      </c>
      <c r="P19" s="5">
        <f t="shared" si="2"/>
        <v>72.477308867465538</v>
      </c>
    </row>
    <row r="20" spans="1:16" x14ac:dyDescent="0.2">
      <c r="A20">
        <v>7.5</v>
      </c>
      <c r="B20">
        <v>0.5</v>
      </c>
      <c r="C20">
        <v>55.703060000000001</v>
      </c>
      <c r="D20">
        <v>0.1452541</v>
      </c>
      <c r="E20">
        <f t="shared" si="0"/>
        <v>36.213984654825424</v>
      </c>
      <c r="F20">
        <v>40.695439999999998</v>
      </c>
      <c r="G20">
        <v>45.436779999999999</v>
      </c>
      <c r="H20">
        <v>50.439320000000002</v>
      </c>
      <c r="I20">
        <v>55.703060000000001</v>
      </c>
      <c r="J20">
        <v>61.227989999999998</v>
      </c>
      <c r="K20">
        <v>67.014120000000005</v>
      </c>
      <c r="L20">
        <v>73.061449999999994</v>
      </c>
      <c r="M20" s="3">
        <f t="shared" si="1"/>
        <v>79.371900573635784</v>
      </c>
      <c r="O20" s="5">
        <f t="shared" si="2"/>
        <v>40.973482779118555</v>
      </c>
      <c r="P20" s="5">
        <f t="shared" si="2"/>
        <v>72.690003532277956</v>
      </c>
    </row>
    <row r="21" spans="1:16" x14ac:dyDescent="0.2">
      <c r="A21">
        <v>8</v>
      </c>
      <c r="B21">
        <v>0.5</v>
      </c>
      <c r="C21">
        <v>55.855820000000001</v>
      </c>
      <c r="D21">
        <v>0.1452541</v>
      </c>
      <c r="E21">
        <f t="shared" si="0"/>
        <v>36.313297839700205</v>
      </c>
      <c r="F21">
        <v>40.807040000000001</v>
      </c>
      <c r="G21">
        <v>45.561390000000003</v>
      </c>
      <c r="H21">
        <v>50.577649999999998</v>
      </c>
      <c r="I21">
        <v>55.855820000000001</v>
      </c>
      <c r="J21">
        <v>61.395910000000001</v>
      </c>
      <c r="K21">
        <v>67.197909999999993</v>
      </c>
      <c r="L21">
        <v>73.261809999999997</v>
      </c>
      <c r="M21" s="3">
        <f t="shared" si="1"/>
        <v>79.589569971540101</v>
      </c>
      <c r="O21" s="5">
        <f t="shared" si="2"/>
        <v>41.0858484055193</v>
      </c>
      <c r="P21" s="5">
        <f t="shared" si="2"/>
        <v>72.889348504342166</v>
      </c>
    </row>
    <row r="22" spans="1:16" x14ac:dyDescent="0.2">
      <c r="A22">
        <v>8.5</v>
      </c>
      <c r="B22">
        <v>0.5</v>
      </c>
      <c r="C22">
        <v>55.991100000000003</v>
      </c>
      <c r="D22">
        <v>0.1452541</v>
      </c>
      <c r="E22">
        <f t="shared" si="0"/>
        <v>36.401246829290812</v>
      </c>
      <c r="F22">
        <v>40.90587</v>
      </c>
      <c r="G22">
        <v>45.671729999999997</v>
      </c>
      <c r="H22">
        <v>50.700139999999998</v>
      </c>
      <c r="I22">
        <v>55.991100000000003</v>
      </c>
      <c r="J22">
        <v>61.544600000000003</v>
      </c>
      <c r="K22">
        <v>67.360650000000007</v>
      </c>
      <c r="L22">
        <v>73.439239999999998</v>
      </c>
      <c r="M22" s="3">
        <f t="shared" si="1"/>
        <v>79.782331925903151</v>
      </c>
      <c r="O22" s="5">
        <f t="shared" si="2"/>
        <v>41.185356273675183</v>
      </c>
      <c r="P22" s="5">
        <f t="shared" si="2"/>
        <v>73.065882857712452</v>
      </c>
    </row>
    <row r="23" spans="1:16" x14ac:dyDescent="0.2">
      <c r="A23">
        <v>9</v>
      </c>
      <c r="B23">
        <v>0.5</v>
      </c>
      <c r="C23">
        <v>56.106940000000002</v>
      </c>
      <c r="D23">
        <v>0.1452541</v>
      </c>
      <c r="E23">
        <f t="shared" si="0"/>
        <v>36.476557377444088</v>
      </c>
      <c r="F23">
        <v>40.99051</v>
      </c>
      <c r="G23">
        <v>45.76623</v>
      </c>
      <c r="H23">
        <v>50.805039999999998</v>
      </c>
      <c r="I23">
        <v>56.106940000000002</v>
      </c>
      <c r="J23">
        <v>61.671930000000003</v>
      </c>
      <c r="K23">
        <v>67.500020000000006</v>
      </c>
      <c r="L23">
        <v>73.591189999999997</v>
      </c>
      <c r="M23" s="3">
        <f t="shared" si="1"/>
        <v>79.947393611247719</v>
      </c>
      <c r="O23" s="5">
        <f t="shared" si="2"/>
        <v>41.270564666986665</v>
      </c>
      <c r="P23" s="5">
        <f t="shared" si="2"/>
        <v>73.217048879995232</v>
      </c>
    </row>
    <row r="24" spans="1:16" x14ac:dyDescent="0.2">
      <c r="A24">
        <v>9.5</v>
      </c>
      <c r="B24">
        <v>0.5</v>
      </c>
      <c r="C24">
        <v>56.199190000000002</v>
      </c>
      <c r="D24">
        <v>0.1452541</v>
      </c>
      <c r="E24">
        <f t="shared" si="0"/>
        <v>36.536531462968433</v>
      </c>
      <c r="F24">
        <v>41.057899999999997</v>
      </c>
      <c r="G24">
        <v>45.841479999999997</v>
      </c>
      <c r="H24">
        <v>50.888570000000001</v>
      </c>
      <c r="I24">
        <v>56.199190000000002</v>
      </c>
      <c r="J24">
        <v>61.773330000000001</v>
      </c>
      <c r="K24">
        <v>67.611000000000004</v>
      </c>
      <c r="L24">
        <v>73.712180000000004</v>
      </c>
      <c r="M24" s="3">
        <f t="shared" si="1"/>
        <v>80.07884164709921</v>
      </c>
      <c r="O24" s="5">
        <f t="shared" si="2"/>
        <v>41.338420971225133</v>
      </c>
      <c r="P24" s="5">
        <f t="shared" si="2"/>
        <v>73.337431006683659</v>
      </c>
    </row>
    <row r="25" spans="1:16" x14ac:dyDescent="0.2">
      <c r="A25">
        <v>10</v>
      </c>
      <c r="B25">
        <v>0.5</v>
      </c>
      <c r="C25">
        <v>56.264789999999998</v>
      </c>
      <c r="D25">
        <v>0.1452541</v>
      </c>
      <c r="E25">
        <f t="shared" si="0"/>
        <v>36.579179701563518</v>
      </c>
      <c r="F25">
        <v>41.105829999999997</v>
      </c>
      <c r="G25">
        <v>45.89499</v>
      </c>
      <c r="H25">
        <v>50.947980000000001</v>
      </c>
      <c r="I25">
        <v>56.264789999999998</v>
      </c>
      <c r="J25">
        <v>61.845440000000004</v>
      </c>
      <c r="K25">
        <v>67.689920000000001</v>
      </c>
      <c r="L25">
        <v>73.798230000000004</v>
      </c>
      <c r="M25" s="3">
        <f t="shared" si="1"/>
        <v>80.172315805926928</v>
      </c>
      <c r="O25" s="5">
        <f t="shared" si="2"/>
        <v>41.386674343128043</v>
      </c>
      <c r="P25" s="5">
        <f t="shared" si="2"/>
        <v>73.423036074550978</v>
      </c>
    </row>
    <row r="26" spans="1:16" x14ac:dyDescent="0.2">
      <c r="A26">
        <v>10.5</v>
      </c>
      <c r="B26">
        <v>0.5</v>
      </c>
      <c r="C26">
        <v>56.305259999999997</v>
      </c>
      <c r="D26">
        <v>0.1452541</v>
      </c>
      <c r="E26">
        <f t="shared" si="0"/>
        <v>36.605490284123626</v>
      </c>
      <c r="F26">
        <v>41.135399999999997</v>
      </c>
      <c r="G26">
        <v>45.927999999999997</v>
      </c>
      <c r="H26">
        <v>50.98462</v>
      </c>
      <c r="I26">
        <v>56.305259999999997</v>
      </c>
      <c r="J26">
        <v>61.88993</v>
      </c>
      <c r="K26">
        <v>67.738609999999994</v>
      </c>
      <c r="L26">
        <v>73.851309999999998</v>
      </c>
      <c r="M26" s="3">
        <f t="shared" si="1"/>
        <v>80.229981952386666</v>
      </c>
      <c r="O26" s="5">
        <f t="shared" si="2"/>
        <v>41.416442848629728</v>
      </c>
      <c r="P26" s="5">
        <f t="shared" si="2"/>
        <v>73.475847615657528</v>
      </c>
    </row>
    <row r="27" spans="1:16" x14ac:dyDescent="0.2">
      <c r="A27">
        <v>11</v>
      </c>
      <c r="B27">
        <v>0.5</v>
      </c>
      <c r="C27">
        <v>56.325420000000001</v>
      </c>
      <c r="D27">
        <v>0.1452541</v>
      </c>
      <c r="E27">
        <f t="shared" si="0"/>
        <v>36.61859681598456</v>
      </c>
      <c r="F27">
        <v>41.150120000000001</v>
      </c>
      <c r="G27">
        <v>45.94444</v>
      </c>
      <c r="H27">
        <v>51.002870000000001</v>
      </c>
      <c r="I27">
        <v>56.325420000000001</v>
      </c>
      <c r="J27">
        <v>61.912080000000003</v>
      </c>
      <c r="K27">
        <v>67.762860000000003</v>
      </c>
      <c r="L27">
        <v>73.877750000000006</v>
      </c>
      <c r="M27" s="3">
        <f t="shared" si="1"/>
        <v>80.258708157294706</v>
      </c>
      <c r="O27" s="5">
        <f t="shared" si="2"/>
        <v>41.431271933653555</v>
      </c>
      <c r="P27" s="5">
        <f t="shared" si="2"/>
        <v>73.5021555145631</v>
      </c>
    </row>
    <row r="28" spans="1:16" x14ac:dyDescent="0.2">
      <c r="A28">
        <v>11.5</v>
      </c>
      <c r="B28">
        <v>0.5</v>
      </c>
      <c r="C28">
        <v>56.330410000000001</v>
      </c>
      <c r="D28">
        <v>0.1452541</v>
      </c>
      <c r="E28">
        <f t="shared" si="0"/>
        <v>36.621840942670374</v>
      </c>
      <c r="F28">
        <v>41.153770000000002</v>
      </c>
      <c r="G28">
        <v>45.948509999999999</v>
      </c>
      <c r="H28">
        <v>51.007399999999997</v>
      </c>
      <c r="I28">
        <v>56.330410000000001</v>
      </c>
      <c r="J28">
        <v>61.917569999999998</v>
      </c>
      <c r="K28">
        <v>67.768870000000007</v>
      </c>
      <c r="L28">
        <v>73.884289999999993</v>
      </c>
      <c r="M28" s="3">
        <f t="shared" si="1"/>
        <v>80.265818462973826</v>
      </c>
      <c r="O28" s="5">
        <f t="shared" si="2"/>
        <v>41.434942426424826</v>
      </c>
      <c r="P28" s="5">
        <f t="shared" si="2"/>
        <v>73.50866724152435</v>
      </c>
    </row>
    <row r="29" spans="1:16" x14ac:dyDescent="0.2">
      <c r="A29">
        <v>12</v>
      </c>
      <c r="B29">
        <v>0.5</v>
      </c>
      <c r="C29">
        <v>56.337339999999998</v>
      </c>
      <c r="D29">
        <v>0.1452541</v>
      </c>
      <c r="E29">
        <f t="shared" si="0"/>
        <v>36.626346312997569</v>
      </c>
      <c r="F29">
        <v>41.158830000000002</v>
      </c>
      <c r="G29">
        <v>45.954169999999998</v>
      </c>
      <c r="H29">
        <v>51.013669999999998</v>
      </c>
      <c r="I29">
        <v>56.337339999999998</v>
      </c>
      <c r="J29">
        <v>61.925190000000001</v>
      </c>
      <c r="K29">
        <v>67.777199999999993</v>
      </c>
      <c r="L29">
        <v>73.893379999999993</v>
      </c>
      <c r="M29" s="3">
        <f t="shared" si="1"/>
        <v>80.275693095910952</v>
      </c>
      <c r="O29" s="5">
        <f t="shared" si="2"/>
        <v>41.440039924401759</v>
      </c>
      <c r="P29" s="5">
        <f t="shared" si="2"/>
        <v>73.517710581773144</v>
      </c>
    </row>
    <row r="30" spans="1:16" x14ac:dyDescent="0.2">
      <c r="A30">
        <v>12.5</v>
      </c>
      <c r="B30">
        <v>0.5</v>
      </c>
      <c r="C30">
        <v>56.3506</v>
      </c>
      <c r="D30">
        <v>0.1452541</v>
      </c>
      <c r="E30">
        <f t="shared" si="0"/>
        <v>36.634966978298955</v>
      </c>
      <c r="F30">
        <v>41.168520000000001</v>
      </c>
      <c r="G30">
        <v>45.964979999999997</v>
      </c>
      <c r="H30">
        <v>51.025669999999998</v>
      </c>
      <c r="I30">
        <v>56.3506</v>
      </c>
      <c r="J30">
        <v>61.939749999999997</v>
      </c>
      <c r="K30">
        <v>67.793139999999994</v>
      </c>
      <c r="L30">
        <v>73.910769999999999</v>
      </c>
      <c r="M30" s="3">
        <f t="shared" si="1"/>
        <v>80.294587415210586</v>
      </c>
      <c r="O30" s="5">
        <f t="shared" si="2"/>
        <v>41.449793578539456</v>
      </c>
      <c r="P30" s="5">
        <f t="shared" si="2"/>
        <v>73.535014289089006</v>
      </c>
    </row>
    <row r="31" spans="1:16" x14ac:dyDescent="0.2">
      <c r="A31">
        <v>13</v>
      </c>
      <c r="B31">
        <v>0.5</v>
      </c>
      <c r="C31">
        <v>56.359200000000001</v>
      </c>
      <c r="D31">
        <v>0.1452541</v>
      </c>
      <c r="E31">
        <f t="shared" si="0"/>
        <v>36.640558058358678</v>
      </c>
      <c r="F31">
        <v>41.174799999999998</v>
      </c>
      <c r="G31">
        <v>45.972000000000001</v>
      </c>
      <c r="H31">
        <v>51.033459999999998</v>
      </c>
      <c r="I31">
        <v>56.359200000000001</v>
      </c>
      <c r="J31">
        <v>61.949210000000001</v>
      </c>
      <c r="K31">
        <v>67.8035</v>
      </c>
      <c r="L31">
        <v>73.922049999999999</v>
      </c>
      <c r="M31" s="3">
        <f t="shared" si="1"/>
        <v>80.306841649447151</v>
      </c>
      <c r="O31" s="5">
        <f t="shared" si="2"/>
        <v>41.456119477904778</v>
      </c>
      <c r="P31" s="5">
        <f t="shared" si="2"/>
        <v>73.546236904693572</v>
      </c>
    </row>
    <row r="32" spans="1:16" x14ac:dyDescent="0.2">
      <c r="A32">
        <v>13.5</v>
      </c>
      <c r="B32">
        <v>0.5</v>
      </c>
      <c r="C32">
        <v>56.368659999999998</v>
      </c>
      <c r="D32">
        <v>0.1452541</v>
      </c>
      <c r="E32">
        <f t="shared" si="0"/>
        <v>36.646708246424367</v>
      </c>
      <c r="F32">
        <v>41.181710000000002</v>
      </c>
      <c r="G32">
        <v>45.979709999999997</v>
      </c>
      <c r="H32">
        <v>51.042020000000001</v>
      </c>
      <c r="I32">
        <v>56.368659999999998</v>
      </c>
      <c r="J32">
        <v>61.959609999999998</v>
      </c>
      <c r="K32">
        <v>67.814869999999999</v>
      </c>
      <c r="L32">
        <v>73.934460000000001</v>
      </c>
      <c r="M32" s="3">
        <f t="shared" si="1"/>
        <v>80.320321307107363</v>
      </c>
      <c r="O32" s="5">
        <f t="shared" si="2"/>
        <v>41.46307796720663</v>
      </c>
      <c r="P32" s="5">
        <f t="shared" si="2"/>
        <v>73.558581781858578</v>
      </c>
    </row>
    <row r="33" spans="1:16" x14ac:dyDescent="0.2">
      <c r="A33">
        <v>14</v>
      </c>
      <c r="B33">
        <v>0.5</v>
      </c>
      <c r="C33">
        <v>56.409080000000003</v>
      </c>
      <c r="D33">
        <v>0.1452541</v>
      </c>
      <c r="E33">
        <f t="shared" si="0"/>
        <v>36.672986322705064</v>
      </c>
      <c r="F33">
        <v>41.211239999999997</v>
      </c>
      <c r="G33">
        <v>46.012680000000003</v>
      </c>
      <c r="H33">
        <v>51.078620000000001</v>
      </c>
      <c r="I33">
        <v>56.409080000000003</v>
      </c>
      <c r="J33">
        <v>62.004040000000003</v>
      </c>
      <c r="K33">
        <v>67.863500000000002</v>
      </c>
      <c r="L33">
        <v>73.987470000000002</v>
      </c>
      <c r="M33" s="3">
        <f t="shared" si="1"/>
        <v>80.377916208019215</v>
      </c>
      <c r="O33" s="5">
        <f t="shared" si="2"/>
        <v>41.492809694223638</v>
      </c>
      <c r="P33" s="5">
        <f t="shared" si="2"/>
        <v>73.611328075200007</v>
      </c>
    </row>
    <row r="34" spans="1:16" x14ac:dyDescent="0.2">
      <c r="A34">
        <v>14.5</v>
      </c>
      <c r="B34">
        <v>0.5</v>
      </c>
      <c r="C34">
        <v>56.49062</v>
      </c>
      <c r="D34">
        <v>0.1452541</v>
      </c>
      <c r="E34">
        <f t="shared" si="0"/>
        <v>36.725997563178289</v>
      </c>
      <c r="F34">
        <v>41.270809999999997</v>
      </c>
      <c r="G34">
        <v>46.079189999999997</v>
      </c>
      <c r="H34">
        <v>51.152459999999998</v>
      </c>
      <c r="I34">
        <v>56.49062</v>
      </c>
      <c r="J34">
        <v>62.09366</v>
      </c>
      <c r="K34">
        <v>67.961590000000001</v>
      </c>
      <c r="L34">
        <v>74.09442</v>
      </c>
      <c r="M34" s="3">
        <f t="shared" si="1"/>
        <v>80.494103447513311</v>
      </c>
      <c r="O34" s="5">
        <f t="shared" si="2"/>
        <v>41.552788047043201</v>
      </c>
      <c r="P34" s="5">
        <f t="shared" si="2"/>
        <v>73.717734130594835</v>
      </c>
    </row>
    <row r="35" spans="1:16" x14ac:dyDescent="0.2">
      <c r="A35">
        <v>15</v>
      </c>
      <c r="B35">
        <v>0.5</v>
      </c>
      <c r="C35">
        <v>56.616799999999998</v>
      </c>
      <c r="D35">
        <v>0.1452541</v>
      </c>
      <c r="E35">
        <f t="shared" si="0"/>
        <v>36.808030409914998</v>
      </c>
      <c r="F35">
        <v>41.363</v>
      </c>
      <c r="G35">
        <v>46.182119999999998</v>
      </c>
      <c r="H35">
        <v>51.266719999999999</v>
      </c>
      <c r="I35">
        <v>56.616799999999998</v>
      </c>
      <c r="J35">
        <v>62.23236</v>
      </c>
      <c r="K35">
        <v>68.113399999999999</v>
      </c>
      <c r="L35">
        <v>74.259929999999997</v>
      </c>
      <c r="M35" s="3">
        <f t="shared" si="1"/>
        <v>80.673898712160906</v>
      </c>
      <c r="O35" s="5">
        <f t="shared" si="2"/>
        <v>41.645602230986938</v>
      </c>
      <c r="P35" s="5">
        <f t="shared" si="2"/>
        <v>73.88239339070914</v>
      </c>
    </row>
    <row r="36" spans="1:16" x14ac:dyDescent="0.2">
      <c r="A36">
        <v>15.5</v>
      </c>
      <c r="B36">
        <v>0.5</v>
      </c>
      <c r="C36">
        <v>56.794370000000001</v>
      </c>
      <c r="D36">
        <v>0.1452541</v>
      </c>
      <c r="E36">
        <f t="shared" si="0"/>
        <v>36.923473210636494</v>
      </c>
      <c r="F36">
        <v>41.492730000000002</v>
      </c>
      <c r="G36">
        <v>46.326970000000003</v>
      </c>
      <c r="H36">
        <v>51.427509999999998</v>
      </c>
      <c r="I36">
        <v>56.794370000000001</v>
      </c>
      <c r="J36">
        <v>62.427549999999997</v>
      </c>
      <c r="K36">
        <v>68.327029999999993</v>
      </c>
      <c r="L36">
        <v>74.492840000000001</v>
      </c>
      <c r="M36" s="3">
        <f t="shared" si="1"/>
        <v>80.926920150926762</v>
      </c>
      <c r="O36" s="5">
        <f t="shared" si="2"/>
        <v>41.776217341486941</v>
      </c>
      <c r="P36" s="5">
        <f t="shared" si="2"/>
        <v>74.114114303837198</v>
      </c>
    </row>
    <row r="37" spans="1:16" x14ac:dyDescent="0.2">
      <c r="A37">
        <v>16</v>
      </c>
      <c r="B37">
        <v>0.5</v>
      </c>
      <c r="C37">
        <v>57.040950000000002</v>
      </c>
      <c r="D37">
        <v>0.1452541</v>
      </c>
      <c r="E37">
        <f t="shared" si="0"/>
        <v>37.083781178209314</v>
      </c>
      <c r="F37">
        <v>41.672870000000003</v>
      </c>
      <c r="G37">
        <v>46.528100000000002</v>
      </c>
      <c r="H37">
        <v>51.650790000000001</v>
      </c>
      <c r="I37">
        <v>57.040950000000002</v>
      </c>
      <c r="J37">
        <v>62.69858</v>
      </c>
      <c r="K37">
        <v>68.623679999999993</v>
      </c>
      <c r="L37">
        <v>74.816249999999997</v>
      </c>
      <c r="M37" s="3">
        <f t="shared" si="1"/>
        <v>81.278274694886235</v>
      </c>
      <c r="O37" s="5">
        <f t="shared" si="2"/>
        <v>41.957594116545167</v>
      </c>
      <c r="P37" s="5">
        <f t="shared" si="2"/>
        <v>74.435890182415307</v>
      </c>
    </row>
    <row r="38" spans="1:16" x14ac:dyDescent="0.2">
      <c r="A38">
        <v>16.5</v>
      </c>
      <c r="B38">
        <v>0.5</v>
      </c>
      <c r="C38">
        <v>57.393680000000003</v>
      </c>
      <c r="D38">
        <v>0.1452541</v>
      </c>
      <c r="E38">
        <f t="shared" si="0"/>
        <v>37.313099976984404</v>
      </c>
      <c r="F38">
        <v>41.930570000000003</v>
      </c>
      <c r="G38">
        <v>46.815820000000002</v>
      </c>
      <c r="H38">
        <v>51.970190000000002</v>
      </c>
      <c r="I38">
        <v>57.393680000000003</v>
      </c>
      <c r="J38">
        <v>63.086300000000001</v>
      </c>
      <c r="K38">
        <v>69.04804</v>
      </c>
      <c r="L38">
        <v>75.278909999999996</v>
      </c>
      <c r="M38" s="3">
        <f t="shared" si="1"/>
        <v>81.780883537009785</v>
      </c>
      <c r="O38" s="5">
        <f t="shared" si="2"/>
        <v>42.21705161458349</v>
      </c>
      <c r="P38" s="5">
        <f t="shared" si="2"/>
        <v>74.896187066391519</v>
      </c>
    </row>
    <row r="39" spans="1:16" x14ac:dyDescent="0.2">
      <c r="A39">
        <v>17</v>
      </c>
      <c r="B39">
        <v>0.5</v>
      </c>
      <c r="C39">
        <v>57.898600000000002</v>
      </c>
      <c r="D39">
        <v>0.1452541</v>
      </c>
      <c r="E39">
        <f t="shared" si="0"/>
        <v>37.641361389048917</v>
      </c>
      <c r="F39">
        <v>42.299460000000003</v>
      </c>
      <c r="G39">
        <v>47.227679999999999</v>
      </c>
      <c r="H39">
        <v>52.427390000000003</v>
      </c>
      <c r="I39">
        <v>57.898600000000002</v>
      </c>
      <c r="J39">
        <v>63.641300000000001</v>
      </c>
      <c r="K39">
        <v>69.65549</v>
      </c>
      <c r="L39">
        <v>75.94117</v>
      </c>
      <c r="M39" s="3">
        <f t="shared" si="1"/>
        <v>82.500349577791752</v>
      </c>
      <c r="O39" s="5">
        <f t="shared" si="2"/>
        <v>42.588455464297176</v>
      </c>
      <c r="P39" s="5">
        <f t="shared" si="2"/>
        <v>75.555085097909313</v>
      </c>
    </row>
    <row r="40" spans="1:16" x14ac:dyDescent="0.2">
      <c r="A40">
        <v>17.5</v>
      </c>
      <c r="B40">
        <v>0.5</v>
      </c>
      <c r="C40">
        <v>58.573839999999997</v>
      </c>
      <c r="D40">
        <v>0.1452541</v>
      </c>
      <c r="E40">
        <f t="shared" si="0"/>
        <v>38.080352191319456</v>
      </c>
      <c r="F40">
        <v>42.792769999999997</v>
      </c>
      <c r="G40">
        <v>47.778469999999999</v>
      </c>
      <c r="H40">
        <v>53.038829999999997</v>
      </c>
      <c r="I40">
        <v>58.573839999999997</v>
      </c>
      <c r="J40">
        <v>64.383510000000001</v>
      </c>
      <c r="K40">
        <v>70.467849999999999</v>
      </c>
      <c r="L40">
        <v>76.826840000000004</v>
      </c>
      <c r="M40" s="3">
        <f t="shared" si="1"/>
        <v>83.462506452895951</v>
      </c>
      <c r="O40" s="5">
        <f t="shared" si="2"/>
        <v>43.085141544231959</v>
      </c>
      <c r="P40" s="5">
        <f t="shared" si="2"/>
        <v>76.436243116609461</v>
      </c>
    </row>
    <row r="41" spans="1:16" x14ac:dyDescent="0.2">
      <c r="A41">
        <v>18</v>
      </c>
      <c r="B41">
        <v>0.5</v>
      </c>
      <c r="C41">
        <v>59.388210000000001</v>
      </c>
      <c r="D41">
        <v>0.1452541</v>
      </c>
      <c r="E41">
        <f t="shared" si="0"/>
        <v>38.609794966695716</v>
      </c>
      <c r="F41">
        <v>43.387729999999998</v>
      </c>
      <c r="G41">
        <v>48.442749999999997</v>
      </c>
      <c r="H41">
        <v>53.776249999999997</v>
      </c>
      <c r="I41">
        <v>59.388210000000001</v>
      </c>
      <c r="J41">
        <v>65.278660000000002</v>
      </c>
      <c r="K41">
        <v>71.447580000000002</v>
      </c>
      <c r="L41">
        <v>77.894980000000004</v>
      </c>
      <c r="M41" s="3">
        <f t="shared" si="1"/>
        <v>84.622911189550479</v>
      </c>
      <c r="O41" s="5">
        <f t="shared" si="2"/>
        <v>43.684167435643147</v>
      </c>
      <c r="P41" s="5">
        <f t="shared" si="2"/>
        <v>77.4989595665959</v>
      </c>
    </row>
    <row r="42" spans="1:16" x14ac:dyDescent="0.2">
      <c r="A42">
        <v>18.5</v>
      </c>
      <c r="B42">
        <v>0.5</v>
      </c>
      <c r="C42">
        <v>60.263530000000003</v>
      </c>
      <c r="D42">
        <v>0.1452541</v>
      </c>
      <c r="E42">
        <f t="shared" si="0"/>
        <v>39.178862896681288</v>
      </c>
      <c r="F42">
        <v>44.02722</v>
      </c>
      <c r="G42">
        <v>49.156739999999999</v>
      </c>
      <c r="H42">
        <v>54.568849999999998</v>
      </c>
      <c r="I42">
        <v>60.263530000000003</v>
      </c>
      <c r="J42">
        <v>66.240790000000004</v>
      </c>
      <c r="K42">
        <v>72.500640000000004</v>
      </c>
      <c r="L42">
        <v>79.043059999999997</v>
      </c>
      <c r="M42" s="3">
        <f t="shared" si="1"/>
        <v>85.870164249079266</v>
      </c>
      <c r="O42" s="5">
        <f t="shared" si="2"/>
        <v>44.328026299881813</v>
      </c>
      <c r="P42" s="5">
        <f t="shared" si="2"/>
        <v>78.641213042291369</v>
      </c>
    </row>
    <row r="43" spans="1:16" x14ac:dyDescent="0.2">
      <c r="A43">
        <v>19</v>
      </c>
      <c r="B43">
        <v>0.5</v>
      </c>
      <c r="C43">
        <v>61.104849999999999</v>
      </c>
      <c r="D43">
        <v>0.1452541</v>
      </c>
      <c r="E43">
        <f t="shared" si="0"/>
        <v>39.7258265566633</v>
      </c>
      <c r="F43">
        <v>44.641869999999997</v>
      </c>
      <c r="G43">
        <v>49.84301</v>
      </c>
      <c r="H43">
        <v>55.330669999999998</v>
      </c>
      <c r="I43">
        <v>61.104849999999999</v>
      </c>
      <c r="J43">
        <v>67.165570000000002</v>
      </c>
      <c r="K43">
        <v>73.512799999999999</v>
      </c>
      <c r="L43">
        <v>80.146559999999994</v>
      </c>
      <c r="M43" s="3">
        <f t="shared" si="1"/>
        <v>87.068970336044885</v>
      </c>
      <c r="O43" s="5">
        <f t="shared" si="2"/>
        <v>44.946875794536645</v>
      </c>
      <c r="P43" s="5">
        <f t="shared" si="2"/>
        <v>79.739098037689757</v>
      </c>
    </row>
    <row r="44" spans="1:16" x14ac:dyDescent="0.2">
      <c r="A44">
        <v>19.5</v>
      </c>
      <c r="B44">
        <v>0.5</v>
      </c>
      <c r="C44">
        <v>61.860639999999997</v>
      </c>
      <c r="D44">
        <v>0.1452541</v>
      </c>
      <c r="E44">
        <f t="shared" si="0"/>
        <v>40.217184975074609</v>
      </c>
      <c r="F44">
        <v>45.194029999999998</v>
      </c>
      <c r="G44">
        <v>50.459499999999998</v>
      </c>
      <c r="H44">
        <v>56.015030000000003</v>
      </c>
      <c r="I44">
        <v>61.860639999999997</v>
      </c>
      <c r="J44">
        <v>67.996319999999997</v>
      </c>
      <c r="K44">
        <v>74.422060000000002</v>
      </c>
      <c r="L44">
        <v>81.137870000000007</v>
      </c>
      <c r="M44" s="3">
        <f t="shared" si="1"/>
        <v>88.14590378879501</v>
      </c>
      <c r="O44" s="5">
        <f t="shared" si="2"/>
        <v>45.502812013294282</v>
      </c>
      <c r="P44" s="5">
        <f t="shared" si="2"/>
        <v>80.72537020603491</v>
      </c>
    </row>
    <row r="45" spans="1:16" x14ac:dyDescent="0.2">
      <c r="A45">
        <v>20</v>
      </c>
      <c r="B45">
        <v>0.5</v>
      </c>
      <c r="C45">
        <v>62.550049999999999</v>
      </c>
      <c r="D45">
        <v>0.1452541</v>
      </c>
      <c r="E45">
        <f t="shared" si="0"/>
        <v>40.665388056931931</v>
      </c>
      <c r="F45">
        <v>45.697699999999998</v>
      </c>
      <c r="G45">
        <v>51.021850000000001</v>
      </c>
      <c r="H45">
        <v>56.639299999999999</v>
      </c>
      <c r="I45">
        <v>62.550049999999999</v>
      </c>
      <c r="J45">
        <v>68.754099999999994</v>
      </c>
      <c r="K45">
        <v>75.251459999999994</v>
      </c>
      <c r="L45">
        <v>82.042109999999994</v>
      </c>
      <c r="M45" s="3">
        <f t="shared" si="1"/>
        <v>89.128251652170391</v>
      </c>
      <c r="O45" s="5">
        <f t="shared" si="2"/>
        <v>46.009921115787975</v>
      </c>
      <c r="P45" s="5">
        <f t="shared" si="2"/>
        <v>81.625019441376523</v>
      </c>
    </row>
    <row r="46" spans="1:16" x14ac:dyDescent="0.2">
      <c r="A46">
        <v>20.5</v>
      </c>
      <c r="B46">
        <v>0.5</v>
      </c>
      <c r="C46">
        <v>63.198889999999999</v>
      </c>
      <c r="D46">
        <v>0.1452541</v>
      </c>
      <c r="E46">
        <f t="shared" si="0"/>
        <v>41.087215543670304</v>
      </c>
      <c r="F46">
        <v>46.171729999999997</v>
      </c>
      <c r="G46">
        <v>51.551110000000001</v>
      </c>
      <c r="H46">
        <v>57.22683</v>
      </c>
      <c r="I46">
        <v>63.198889999999999</v>
      </c>
      <c r="J46">
        <v>69.467299999999994</v>
      </c>
      <c r="K46">
        <v>76.032049999999998</v>
      </c>
      <c r="L46">
        <v>82.893150000000006</v>
      </c>
      <c r="M46" s="3">
        <f t="shared" si="1"/>
        <v>90.052790877990262</v>
      </c>
      <c r="O46" s="5">
        <f t="shared" si="2"/>
        <v>46.487188155810607</v>
      </c>
      <c r="P46" s="5">
        <f t="shared" si="2"/>
        <v>82.471726640081286</v>
      </c>
    </row>
    <row r="47" spans="1:16" x14ac:dyDescent="0.2">
      <c r="A47">
        <v>21</v>
      </c>
      <c r="B47">
        <v>0.5</v>
      </c>
      <c r="C47">
        <v>63.811529999999998</v>
      </c>
      <c r="D47">
        <v>0.1452541</v>
      </c>
      <c r="E47">
        <f t="shared" si="0"/>
        <v>41.485508484110781</v>
      </c>
      <c r="F47">
        <v>46.619309999999999</v>
      </c>
      <c r="G47">
        <v>52.050829999999998</v>
      </c>
      <c r="H47">
        <v>57.781570000000002</v>
      </c>
      <c r="I47">
        <v>63.811529999999998</v>
      </c>
      <c r="J47">
        <v>70.140699999999995</v>
      </c>
      <c r="K47">
        <v>76.769090000000006</v>
      </c>
      <c r="L47">
        <v>83.696700000000007</v>
      </c>
      <c r="M47" s="3">
        <f t="shared" si="1"/>
        <v>90.925748327139956</v>
      </c>
      <c r="O47" s="5">
        <f t="shared" si="2"/>
        <v>46.937827572923403</v>
      </c>
      <c r="P47" s="5">
        <f t="shared" si="2"/>
        <v>83.27119445682267</v>
      </c>
    </row>
    <row r="48" spans="1:16" x14ac:dyDescent="0.2">
      <c r="A48">
        <v>21.5</v>
      </c>
      <c r="B48">
        <v>0.5</v>
      </c>
      <c r="C48">
        <v>64.358810000000005</v>
      </c>
      <c r="D48">
        <v>0.1452541</v>
      </c>
      <c r="E48">
        <f t="shared" si="0"/>
        <v>41.841309216097372</v>
      </c>
      <c r="F48">
        <v>47.01914</v>
      </c>
      <c r="G48">
        <v>52.497250000000001</v>
      </c>
      <c r="H48">
        <v>58.277140000000003</v>
      </c>
      <c r="I48">
        <v>64.358810000000005</v>
      </c>
      <c r="J48">
        <v>70.742260000000002</v>
      </c>
      <c r="K48">
        <v>77.427509999999998</v>
      </c>
      <c r="L48">
        <v>84.414529999999999</v>
      </c>
      <c r="M48" s="3">
        <f t="shared" si="1"/>
        <v>91.705573596091781</v>
      </c>
      <c r="O48" s="5">
        <f t="shared" si="2"/>
        <v>47.340390154859776</v>
      </c>
      <c r="P48" s="5">
        <f t="shared" si="2"/>
        <v>83.985370394969436</v>
      </c>
    </row>
    <row r="49" spans="1:16" x14ac:dyDescent="0.2">
      <c r="A49">
        <v>22</v>
      </c>
      <c r="B49">
        <v>0.5</v>
      </c>
      <c r="C49">
        <v>64.813389999999998</v>
      </c>
      <c r="D49">
        <v>0.1452541</v>
      </c>
      <c r="E49">
        <f t="shared" si="0"/>
        <v>42.13684330604486</v>
      </c>
      <c r="F49">
        <v>47.35125</v>
      </c>
      <c r="G49">
        <v>52.868049999999997</v>
      </c>
      <c r="H49">
        <v>58.688760000000002</v>
      </c>
      <c r="I49">
        <v>64.813389999999998</v>
      </c>
      <c r="J49">
        <v>71.24194</v>
      </c>
      <c r="K49">
        <v>77.974400000000003</v>
      </c>
      <c r="L49">
        <v>85.010769999999994</v>
      </c>
      <c r="M49" s="3">
        <f t="shared" si="1"/>
        <v>92.353309619261111</v>
      </c>
      <c r="O49" s="5">
        <f t="shared" si="2"/>
        <v>47.67476542619552</v>
      </c>
      <c r="P49" s="5">
        <f t="shared" si="2"/>
        <v>84.578576976541484</v>
      </c>
    </row>
    <row r="50" spans="1:16" x14ac:dyDescent="0.2">
      <c r="A50">
        <v>22.5</v>
      </c>
      <c r="B50">
        <v>0.5</v>
      </c>
      <c r="C50">
        <v>65.164919999999995</v>
      </c>
      <c r="D50">
        <v>0.1452541</v>
      </c>
      <c r="E50">
        <f t="shared" si="0"/>
        <v>42.365381954113936</v>
      </c>
      <c r="F50">
        <v>47.608069999999998</v>
      </c>
      <c r="G50">
        <v>53.154789999999998</v>
      </c>
      <c r="H50">
        <v>59.007080000000002</v>
      </c>
      <c r="I50">
        <v>65.164919999999995</v>
      </c>
      <c r="J50">
        <v>71.628330000000005</v>
      </c>
      <c r="K50">
        <v>78.397310000000004</v>
      </c>
      <c r="L50">
        <v>85.471850000000003</v>
      </c>
      <c r="M50" s="3">
        <f t="shared" si="1"/>
        <v>92.854208568235379</v>
      </c>
      <c r="O50" s="5">
        <f t="shared" si="2"/>
        <v>47.933340240601467</v>
      </c>
      <c r="P50" s="5">
        <f t="shared" si="2"/>
        <v>85.037307914154269</v>
      </c>
    </row>
    <row r="51" spans="1:16" x14ac:dyDescent="0.2">
      <c r="A51">
        <v>23</v>
      </c>
      <c r="B51">
        <v>0.5</v>
      </c>
      <c r="C51">
        <v>65.430369999999996</v>
      </c>
      <c r="D51">
        <v>0.1452541</v>
      </c>
      <c r="E51">
        <f t="shared" si="0"/>
        <v>42.53795779153873</v>
      </c>
      <c r="F51">
        <v>47.802</v>
      </c>
      <c r="G51">
        <v>53.371310000000001</v>
      </c>
      <c r="H51">
        <v>59.247439999999997</v>
      </c>
      <c r="I51">
        <v>65.430369999999996</v>
      </c>
      <c r="J51">
        <v>71.920100000000005</v>
      </c>
      <c r="K51">
        <v>78.716650000000001</v>
      </c>
      <c r="L51">
        <v>85.820009999999996</v>
      </c>
      <c r="M51" s="3">
        <f t="shared" si="1"/>
        <v>93.232451181967392</v>
      </c>
      <c r="O51" s="5">
        <f t="shared" si="2"/>
        <v>48.128597215778726</v>
      </c>
      <c r="P51" s="5">
        <f t="shared" si="2"/>
        <v>85.383708299297268</v>
      </c>
    </row>
    <row r="52" spans="1:16" x14ac:dyDescent="0.2">
      <c r="A52">
        <v>23.5</v>
      </c>
      <c r="B52">
        <v>0.5</v>
      </c>
      <c r="C52">
        <v>65.641300000000001</v>
      </c>
      <c r="D52">
        <v>0.1452541</v>
      </c>
      <c r="E52">
        <f t="shared" si="0"/>
        <v>42.67508878188724</v>
      </c>
      <c r="F52">
        <v>47.956099999999999</v>
      </c>
      <c r="G52">
        <v>53.543370000000003</v>
      </c>
      <c r="H52">
        <v>59.43844</v>
      </c>
      <c r="I52">
        <v>65.641300000000001</v>
      </c>
      <c r="J52">
        <v>72.151960000000003</v>
      </c>
      <c r="K52">
        <v>78.970420000000004</v>
      </c>
      <c r="L52">
        <v>86.096680000000006</v>
      </c>
      <c r="M52" s="3">
        <f t="shared" si="1"/>
        <v>93.533007650283452</v>
      </c>
      <c r="O52" s="5">
        <f t="shared" si="2"/>
        <v>48.283750931258623</v>
      </c>
      <c r="P52" s="5">
        <f t="shared" si="2"/>
        <v>85.658962521328576</v>
      </c>
    </row>
    <row r="53" spans="1:16" x14ac:dyDescent="0.2">
      <c r="A53">
        <v>24</v>
      </c>
      <c r="B53">
        <v>0.5</v>
      </c>
      <c r="C53">
        <v>65.836889999999997</v>
      </c>
      <c r="D53">
        <v>0.1452541</v>
      </c>
      <c r="E53">
        <f t="shared" si="0"/>
        <v>42.802246845710613</v>
      </c>
      <c r="F53">
        <v>48.098999999999997</v>
      </c>
      <c r="G53">
        <v>53.702919999999999</v>
      </c>
      <c r="H53">
        <v>59.615540000000003</v>
      </c>
      <c r="I53">
        <v>65.836889999999997</v>
      </c>
      <c r="J53">
        <v>72.366950000000003</v>
      </c>
      <c r="K53">
        <v>79.205730000000003</v>
      </c>
      <c r="L53">
        <v>86.353219999999993</v>
      </c>
      <c r="M53" s="3">
        <f t="shared" si="1"/>
        <v>93.811705984507768</v>
      </c>
      <c r="O53" s="5">
        <f t="shared" si="2"/>
        <v>48.427621007638045</v>
      </c>
      <c r="P53" s="5">
        <f t="shared" si="2"/>
        <v>85.914198729014075</v>
      </c>
    </row>
    <row r="54" spans="1:16" x14ac:dyDescent="0.2">
      <c r="C54">
        <v>90</v>
      </c>
      <c r="D54" s="2">
        <f>((C54/C53)^B53-1)/(B53*D53)</f>
        <v>2.329628723979579</v>
      </c>
      <c r="E54" s="2">
        <f>100*NORMSDIST(D54)</f>
        <v>99.008710867562684</v>
      </c>
    </row>
    <row r="57" spans="1:16" x14ac:dyDescent="0.2">
      <c r="F57" t="s">
        <v>25</v>
      </c>
      <c r="G57" t="s">
        <v>26</v>
      </c>
      <c r="H57" t="s">
        <v>27</v>
      </c>
      <c r="I57" t="s">
        <v>28</v>
      </c>
      <c r="J57" t="s">
        <v>29</v>
      </c>
    </row>
    <row r="58" spans="1:16" x14ac:dyDescent="0.2">
      <c r="F58">
        <v>49</v>
      </c>
      <c r="G58" s="5" t="e">
        <f ca="1">[1]!SDS(1,0,F58,"ht")</f>
        <v>#REF!</v>
      </c>
      <c r="H58" s="5" t="e">
        <f ca="1">NORMSDIST(G58)*100</f>
        <v>#REF!</v>
      </c>
      <c r="I58" s="5" t="e">
        <f ca="1">[1]!CENTILE(1,20,G58,"ht")</f>
        <v>#REF!</v>
      </c>
      <c r="J58" s="5" t="e">
        <f ca="1">(I58/2.54)</f>
        <v>#REF!</v>
      </c>
    </row>
  </sheetData>
  <phoneticPr fontId="1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1576-E2BD-8A4F-8A3C-AE1DD9B2C1DE}">
  <dimension ref="A1:M54"/>
  <sheetViews>
    <sheetView topLeftCell="A4" workbookViewId="0">
      <selection activeCell="E54" sqref="E54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15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19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5</v>
      </c>
      <c r="D10">
        <v>1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</v>
      </c>
      <c r="B13">
        <v>0.5</v>
      </c>
      <c r="C13">
        <v>54.976559999999999</v>
      </c>
      <c r="D13">
        <v>0.14001140000000001</v>
      </c>
      <c r="E13">
        <f>C13*(1+(B13*D13*-2.667))^(1/B13)</f>
        <v>36.364159222741819</v>
      </c>
      <c r="F13">
        <v>40.658929999999998</v>
      </c>
      <c r="G13">
        <v>45.191949999999999</v>
      </c>
      <c r="H13">
        <v>49.964500000000001</v>
      </c>
      <c r="I13">
        <v>54.976559999999999</v>
      </c>
      <c r="J13">
        <v>60.22813</v>
      </c>
      <c r="K13">
        <v>65.719229999999996</v>
      </c>
      <c r="L13">
        <v>71.449839999999995</v>
      </c>
      <c r="M13" s="4">
        <f>C13*(1+(B13*D13*2.667))^(1/B13)</f>
        <v>77.421798161011665</v>
      </c>
    </row>
    <row r="14" spans="1:13" x14ac:dyDescent="0.2">
      <c r="A14">
        <v>4.5</v>
      </c>
      <c r="B14">
        <v>0.5</v>
      </c>
      <c r="C14">
        <v>55.159759999999999</v>
      </c>
      <c r="D14">
        <v>0.14001140000000001</v>
      </c>
      <c r="E14">
        <f t="shared" ref="E14:E53" si="0">C14*(1+(B14*D14*-2.667))^(1/B14)</f>
        <v>36.48533657486437</v>
      </c>
      <c r="F14">
        <v>40.794409999999999</v>
      </c>
      <c r="G14">
        <v>45.34254</v>
      </c>
      <c r="H14">
        <v>50.130989999999997</v>
      </c>
      <c r="I14">
        <v>55.159759999999999</v>
      </c>
      <c r="J14">
        <v>60.428829999999998</v>
      </c>
      <c r="K14">
        <v>65.938220000000001</v>
      </c>
      <c r="L14">
        <v>71.687929999999994</v>
      </c>
      <c r="M14" s="4">
        <f t="shared" ref="M14:M53" si="1">C14*(1+(B14*D14*2.667))^(1/B14)</f>
        <v>77.67979308508653</v>
      </c>
    </row>
    <row r="15" spans="1:13" x14ac:dyDescent="0.2">
      <c r="A15">
        <v>5</v>
      </c>
      <c r="B15">
        <v>0.5</v>
      </c>
      <c r="C15">
        <v>55.342959999999998</v>
      </c>
      <c r="D15">
        <v>0.14001140000000001</v>
      </c>
      <c r="E15">
        <f t="shared" si="0"/>
        <v>36.606513926986914</v>
      </c>
      <c r="F15">
        <v>40.929900000000004</v>
      </c>
      <c r="G15">
        <v>45.493139999999997</v>
      </c>
      <c r="H15">
        <v>50.297499999999999</v>
      </c>
      <c r="I15">
        <v>55.342959999999998</v>
      </c>
      <c r="J15">
        <v>60.629539999999999</v>
      </c>
      <c r="K15">
        <v>66.157229999999998</v>
      </c>
      <c r="L15">
        <v>71.926029999999997</v>
      </c>
      <c r="M15" s="4">
        <f t="shared" si="1"/>
        <v>77.937788009161395</v>
      </c>
    </row>
    <row r="16" spans="1:13" x14ac:dyDescent="0.2">
      <c r="A16">
        <v>5.5</v>
      </c>
      <c r="B16">
        <v>0.5</v>
      </c>
      <c r="C16">
        <v>55.526519999999998</v>
      </c>
      <c r="D16">
        <v>0.14001140000000001</v>
      </c>
      <c r="E16">
        <f t="shared" si="0"/>
        <v>36.727929400543765</v>
      </c>
      <c r="F16">
        <v>41.065660000000001</v>
      </c>
      <c r="G16">
        <v>45.644039999999997</v>
      </c>
      <c r="H16">
        <v>50.464320000000001</v>
      </c>
      <c r="I16">
        <v>55.526519999999998</v>
      </c>
      <c r="J16">
        <v>60.830640000000002</v>
      </c>
      <c r="K16">
        <v>66.376660000000001</v>
      </c>
      <c r="L16">
        <v>72.164599999999993</v>
      </c>
      <c r="M16" s="4">
        <f t="shared" si="1"/>
        <v>78.196289910161298</v>
      </c>
    </row>
    <row r="17" spans="1:13" x14ac:dyDescent="0.2">
      <c r="A17">
        <v>6</v>
      </c>
      <c r="B17">
        <v>0.5</v>
      </c>
      <c r="C17">
        <v>55.71163</v>
      </c>
      <c r="D17">
        <v>0.14001140000000001</v>
      </c>
      <c r="E17">
        <f t="shared" si="0"/>
        <v>36.850370119164964</v>
      </c>
      <c r="F17">
        <v>41.202559999999998</v>
      </c>
      <c r="G17">
        <v>45.796199999999999</v>
      </c>
      <c r="H17">
        <v>50.632550000000002</v>
      </c>
      <c r="I17">
        <v>55.71163</v>
      </c>
      <c r="J17">
        <v>61.03342</v>
      </c>
      <c r="K17">
        <v>66.597930000000005</v>
      </c>
      <c r="L17">
        <v>72.405169999999998</v>
      </c>
      <c r="M17" s="4">
        <f t="shared" si="1"/>
        <v>78.45697462847734</v>
      </c>
    </row>
    <row r="18" spans="1:13" x14ac:dyDescent="0.2">
      <c r="A18">
        <v>6.5</v>
      </c>
      <c r="B18">
        <v>0.5</v>
      </c>
      <c r="C18">
        <v>55.89875</v>
      </c>
      <c r="D18">
        <v>0.14001140000000001</v>
      </c>
      <c r="E18">
        <f t="shared" si="0"/>
        <v>36.974140349127687</v>
      </c>
      <c r="F18">
        <v>41.340949999999999</v>
      </c>
      <c r="G18">
        <v>45.950020000000002</v>
      </c>
      <c r="H18">
        <v>50.802619999999997</v>
      </c>
      <c r="I18">
        <v>55.89875</v>
      </c>
      <c r="J18">
        <v>61.238419999999998</v>
      </c>
      <c r="K18">
        <v>66.821619999999996</v>
      </c>
      <c r="L18">
        <v>72.648349999999994</v>
      </c>
      <c r="M18" s="4">
        <f t="shared" si="1"/>
        <v>78.720489967958173</v>
      </c>
    </row>
    <row r="19" spans="1:13" x14ac:dyDescent="0.2">
      <c r="A19">
        <v>7</v>
      </c>
      <c r="B19">
        <v>0.5</v>
      </c>
      <c r="C19">
        <v>56.086329999999997</v>
      </c>
      <c r="D19">
        <v>0.14001140000000001</v>
      </c>
      <c r="E19">
        <f t="shared" si="0"/>
        <v>37.098214845367572</v>
      </c>
      <c r="F19">
        <v>41.479680000000002</v>
      </c>
      <c r="G19">
        <v>46.104210000000002</v>
      </c>
      <c r="H19">
        <v>50.973100000000002</v>
      </c>
      <c r="I19">
        <v>56.086329999999997</v>
      </c>
      <c r="J19">
        <v>61.443919999999999</v>
      </c>
      <c r="K19">
        <v>67.045860000000005</v>
      </c>
      <c r="L19">
        <v>72.892150000000001</v>
      </c>
      <c r="M19" s="4">
        <f t="shared" si="1"/>
        <v>78.98465311128767</v>
      </c>
    </row>
    <row r="20" spans="1:13" x14ac:dyDescent="0.2">
      <c r="A20">
        <v>7.5</v>
      </c>
      <c r="B20">
        <v>0.5</v>
      </c>
      <c r="C20">
        <v>56.26755</v>
      </c>
      <c r="D20">
        <v>0.14001140000000001</v>
      </c>
      <c r="E20">
        <f t="shared" si="0"/>
        <v>37.21808252960146</v>
      </c>
      <c r="F20">
        <v>41.613700000000001</v>
      </c>
      <c r="G20">
        <v>46.25318</v>
      </c>
      <c r="H20">
        <v>51.137790000000003</v>
      </c>
      <c r="I20">
        <v>56.26755</v>
      </c>
      <c r="J20">
        <v>61.642449999999997</v>
      </c>
      <c r="K20">
        <v>67.26249</v>
      </c>
      <c r="L20">
        <v>73.127660000000006</v>
      </c>
      <c r="M20" s="4">
        <f t="shared" si="1"/>
        <v>79.239859662274824</v>
      </c>
    </row>
    <row r="21" spans="1:13" x14ac:dyDescent="0.2">
      <c r="A21">
        <v>8</v>
      </c>
      <c r="B21">
        <v>0.5</v>
      </c>
      <c r="C21">
        <v>56.435789999999997</v>
      </c>
      <c r="D21">
        <v>0.14001140000000001</v>
      </c>
      <c r="E21">
        <f t="shared" si="0"/>
        <v>37.329364613231903</v>
      </c>
      <c r="F21">
        <v>41.738129999999998</v>
      </c>
      <c r="G21">
        <v>46.391480000000001</v>
      </c>
      <c r="H21">
        <v>51.290700000000001</v>
      </c>
      <c r="I21">
        <v>56.435789999999997</v>
      </c>
      <c r="J21">
        <v>61.82676</v>
      </c>
      <c r="K21">
        <v>67.4636</v>
      </c>
      <c r="L21">
        <v>73.346310000000003</v>
      </c>
      <c r="M21" s="4">
        <f t="shared" si="1"/>
        <v>79.476786878575894</v>
      </c>
    </row>
    <row r="22" spans="1:13" x14ac:dyDescent="0.2">
      <c r="A22">
        <v>8.5</v>
      </c>
      <c r="B22">
        <v>0.5</v>
      </c>
      <c r="C22">
        <v>56.587699999999998</v>
      </c>
      <c r="D22">
        <v>0.14001140000000001</v>
      </c>
      <c r="E22">
        <f t="shared" si="0"/>
        <v>37.429845244023042</v>
      </c>
      <c r="F22">
        <v>41.850479999999997</v>
      </c>
      <c r="G22">
        <v>46.516350000000003</v>
      </c>
      <c r="H22">
        <v>51.428759999999997</v>
      </c>
      <c r="I22">
        <v>56.587699999999998</v>
      </c>
      <c r="J22">
        <v>61.993180000000002</v>
      </c>
      <c r="K22">
        <v>67.645200000000003</v>
      </c>
      <c r="L22">
        <v>73.543750000000003</v>
      </c>
      <c r="M22" s="4">
        <f t="shared" si="1"/>
        <v>79.690717058249547</v>
      </c>
    </row>
    <row r="23" spans="1:13" x14ac:dyDescent="0.2">
      <c r="A23">
        <v>9</v>
      </c>
      <c r="B23">
        <v>0.5</v>
      </c>
      <c r="C23">
        <v>56.718989999999998</v>
      </c>
      <c r="D23">
        <v>0.14001140000000001</v>
      </c>
      <c r="E23">
        <f t="shared" si="0"/>
        <v>37.5166868082161</v>
      </c>
      <c r="F23">
        <v>41.947580000000002</v>
      </c>
      <c r="G23">
        <v>46.624279999999999</v>
      </c>
      <c r="H23">
        <v>51.548079999999999</v>
      </c>
      <c r="I23">
        <v>56.718989999999998</v>
      </c>
      <c r="J23">
        <v>62.13702</v>
      </c>
      <c r="K23">
        <v>67.802149999999997</v>
      </c>
      <c r="L23">
        <v>73.714380000000006</v>
      </c>
      <c r="M23" s="4">
        <f t="shared" si="1"/>
        <v>79.875608726272418</v>
      </c>
    </row>
    <row r="24" spans="1:13" x14ac:dyDescent="0.2">
      <c r="A24">
        <v>9.5</v>
      </c>
      <c r="B24">
        <v>0.5</v>
      </c>
      <c r="C24">
        <v>56.823540000000001</v>
      </c>
      <c r="D24">
        <v>0.14001140000000001</v>
      </c>
      <c r="E24">
        <f t="shared" si="0"/>
        <v>37.585841241427964</v>
      </c>
      <c r="F24">
        <v>42.024889999999999</v>
      </c>
      <c r="G24">
        <v>46.710209999999996</v>
      </c>
      <c r="H24">
        <v>51.643090000000001</v>
      </c>
      <c r="I24">
        <v>56.823540000000001</v>
      </c>
      <c r="J24">
        <v>62.251550000000002</v>
      </c>
      <c r="K24">
        <v>67.927120000000002</v>
      </c>
      <c r="L24">
        <v>73.850250000000003</v>
      </c>
      <c r="M24" s="4">
        <f t="shared" si="1"/>
        <v>80.022843274918856</v>
      </c>
    </row>
    <row r="25" spans="1:13" x14ac:dyDescent="0.2">
      <c r="A25">
        <v>10</v>
      </c>
      <c r="B25">
        <v>0.5</v>
      </c>
      <c r="C25">
        <v>56.90128</v>
      </c>
      <c r="D25">
        <v>0.14001140000000001</v>
      </c>
      <c r="E25">
        <f t="shared" si="0"/>
        <v>37.637262242268612</v>
      </c>
      <c r="F25">
        <v>42.082389999999997</v>
      </c>
      <c r="G25">
        <v>46.774120000000003</v>
      </c>
      <c r="H25">
        <v>51.713749999999997</v>
      </c>
      <c r="I25">
        <v>56.90128</v>
      </c>
      <c r="J25">
        <v>62.33672</v>
      </c>
      <c r="K25">
        <v>68.020049999999998</v>
      </c>
      <c r="L25">
        <v>73.95129</v>
      </c>
      <c r="M25" s="4">
        <f t="shared" si="1"/>
        <v>80.132322125342327</v>
      </c>
    </row>
    <row r="26" spans="1:13" x14ac:dyDescent="0.2">
      <c r="A26">
        <v>10.5</v>
      </c>
      <c r="B26">
        <v>0.5</v>
      </c>
      <c r="C26">
        <v>56.956490000000002</v>
      </c>
      <c r="D26">
        <v>0.14001140000000001</v>
      </c>
      <c r="E26">
        <f t="shared" si="0"/>
        <v>37.673780810012531</v>
      </c>
      <c r="F26">
        <v>42.123220000000003</v>
      </c>
      <c r="G26">
        <v>46.819499999999998</v>
      </c>
      <c r="H26">
        <v>51.763930000000002</v>
      </c>
      <c r="I26">
        <v>56.956490000000002</v>
      </c>
      <c r="J26">
        <v>62.397199999999998</v>
      </c>
      <c r="K26">
        <v>68.08605</v>
      </c>
      <c r="L26">
        <v>74.023039999999995</v>
      </c>
      <c r="M26" s="4">
        <f t="shared" si="1"/>
        <v>80.210072669873838</v>
      </c>
    </row>
    <row r="27" spans="1:13" x14ac:dyDescent="0.2">
      <c r="A27">
        <v>11</v>
      </c>
      <c r="B27">
        <v>0.5</v>
      </c>
      <c r="C27">
        <v>57.000779999999999</v>
      </c>
      <c r="D27">
        <v>0.14001140000000001</v>
      </c>
      <c r="E27">
        <f t="shared" si="0"/>
        <v>37.703076360915951</v>
      </c>
      <c r="F27">
        <v>42.15598</v>
      </c>
      <c r="G27">
        <v>46.855910000000002</v>
      </c>
      <c r="H27">
        <v>51.804180000000002</v>
      </c>
      <c r="I27">
        <v>57.000779999999999</v>
      </c>
      <c r="J27">
        <v>62.445720000000001</v>
      </c>
      <c r="K27">
        <v>68.138990000000007</v>
      </c>
      <c r="L27">
        <v>74.080600000000004</v>
      </c>
      <c r="M27" s="4">
        <f t="shared" si="1"/>
        <v>80.272444914345868</v>
      </c>
    </row>
    <row r="28" spans="1:13" x14ac:dyDescent="0.2">
      <c r="A28">
        <v>11.5</v>
      </c>
      <c r="B28">
        <v>0.5</v>
      </c>
      <c r="C28">
        <v>57.044759999999997</v>
      </c>
      <c r="D28">
        <v>0.14001140000000001</v>
      </c>
      <c r="E28">
        <f t="shared" si="0"/>
        <v>37.732166862806508</v>
      </c>
      <c r="F28">
        <v>42.188499999999998</v>
      </c>
      <c r="G28">
        <v>46.892060000000001</v>
      </c>
      <c r="H28">
        <v>51.844149999999999</v>
      </c>
      <c r="I28">
        <v>57.044759999999997</v>
      </c>
      <c r="J28">
        <v>62.493899999999996</v>
      </c>
      <c r="K28">
        <v>68.191569999999999</v>
      </c>
      <c r="L28">
        <v>74.13776</v>
      </c>
      <c r="M28" s="4">
        <f t="shared" si="1"/>
        <v>80.334380595354673</v>
      </c>
    </row>
    <row r="29" spans="1:13" x14ac:dyDescent="0.2">
      <c r="A29">
        <v>12</v>
      </c>
      <c r="B29">
        <v>0.5</v>
      </c>
      <c r="C29">
        <v>57.099420000000002</v>
      </c>
      <c r="D29">
        <v>0.14001140000000001</v>
      </c>
      <c r="E29">
        <f t="shared" si="0"/>
        <v>37.768321633914688</v>
      </c>
      <c r="F29">
        <v>42.228929999999998</v>
      </c>
      <c r="G29">
        <v>46.936999999999998</v>
      </c>
      <c r="H29">
        <v>51.893830000000001</v>
      </c>
      <c r="I29">
        <v>57.099420000000002</v>
      </c>
      <c r="J29">
        <v>62.553780000000003</v>
      </c>
      <c r="K29">
        <v>68.256910000000005</v>
      </c>
      <c r="L29">
        <v>74.208799999999997</v>
      </c>
      <c r="M29" s="4">
        <f t="shared" si="1"/>
        <v>80.411356591806268</v>
      </c>
    </row>
    <row r="30" spans="1:13" x14ac:dyDescent="0.2">
      <c r="A30">
        <v>12.5</v>
      </c>
      <c r="B30">
        <v>0.5</v>
      </c>
      <c r="C30">
        <v>57.17633</v>
      </c>
      <c r="D30">
        <v>0.14001140000000001</v>
      </c>
      <c r="E30">
        <f t="shared" si="0"/>
        <v>37.819193632559582</v>
      </c>
      <c r="F30">
        <v>42.285800000000002</v>
      </c>
      <c r="G30">
        <v>47.000210000000003</v>
      </c>
      <c r="H30">
        <v>51.963720000000002</v>
      </c>
      <c r="I30">
        <v>57.17633</v>
      </c>
      <c r="J30">
        <v>62.638030000000001</v>
      </c>
      <c r="K30">
        <v>68.348839999999996</v>
      </c>
      <c r="L30">
        <v>74.308750000000003</v>
      </c>
      <c r="M30" s="4">
        <f t="shared" si="1"/>
        <v>80.519666578763676</v>
      </c>
    </row>
    <row r="31" spans="1:13" x14ac:dyDescent="0.2">
      <c r="A31">
        <v>13</v>
      </c>
      <c r="B31">
        <v>0.5</v>
      </c>
      <c r="C31">
        <v>57.28434</v>
      </c>
      <c r="D31">
        <v>0.14001140000000001</v>
      </c>
      <c r="E31">
        <f t="shared" si="0"/>
        <v>37.890636677334456</v>
      </c>
      <c r="F31">
        <v>42.365690000000001</v>
      </c>
      <c r="G31">
        <v>47.088999999999999</v>
      </c>
      <c r="H31">
        <v>52.061889999999998</v>
      </c>
      <c r="I31">
        <v>57.28434</v>
      </c>
      <c r="J31">
        <v>62.756369999999997</v>
      </c>
      <c r="K31">
        <v>68.477959999999996</v>
      </c>
      <c r="L31">
        <v>74.449129999999997</v>
      </c>
      <c r="M31" s="4">
        <f t="shared" si="1"/>
        <v>80.671773738967431</v>
      </c>
    </row>
    <row r="32" spans="1:13" x14ac:dyDescent="0.2">
      <c r="A32">
        <v>13.5</v>
      </c>
      <c r="B32">
        <v>0.5</v>
      </c>
      <c r="C32">
        <v>57.431899999999999</v>
      </c>
      <c r="D32">
        <v>0.14001140000000001</v>
      </c>
      <c r="E32">
        <f t="shared" si="0"/>
        <v>37.988240007461108</v>
      </c>
      <c r="F32">
        <v>42.474820000000001</v>
      </c>
      <c r="G32">
        <v>47.210299999999997</v>
      </c>
      <c r="H32">
        <v>52.195999999999998</v>
      </c>
      <c r="I32">
        <v>57.431899999999999</v>
      </c>
      <c r="J32">
        <v>62.918030000000002</v>
      </c>
      <c r="K32">
        <v>68.654359999999997</v>
      </c>
      <c r="L32">
        <v>74.640910000000005</v>
      </c>
      <c r="M32" s="4">
        <f t="shared" si="1"/>
        <v>80.879577947463531</v>
      </c>
    </row>
    <row r="33" spans="1:13" x14ac:dyDescent="0.2">
      <c r="A33">
        <v>14</v>
      </c>
      <c r="B33">
        <v>0.5</v>
      </c>
      <c r="C33">
        <v>57.628430000000002</v>
      </c>
      <c r="D33">
        <v>0.14001140000000001</v>
      </c>
      <c r="E33">
        <f t="shared" si="0"/>
        <v>38.118234467137114</v>
      </c>
      <c r="F33">
        <v>42.620170000000002</v>
      </c>
      <c r="G33">
        <v>47.371850000000002</v>
      </c>
      <c r="H33">
        <v>52.374609999999997</v>
      </c>
      <c r="I33">
        <v>57.628430000000002</v>
      </c>
      <c r="J33">
        <v>63.133330000000001</v>
      </c>
      <c r="K33">
        <v>68.889290000000003</v>
      </c>
      <c r="L33">
        <v>74.896320000000003</v>
      </c>
      <c r="M33" s="4">
        <f t="shared" si="1"/>
        <v>81.156345100457173</v>
      </c>
    </row>
    <row r="34" spans="1:13" x14ac:dyDescent="0.2">
      <c r="A34">
        <v>14.5</v>
      </c>
      <c r="B34">
        <v>0.5</v>
      </c>
      <c r="C34">
        <v>57.886180000000003</v>
      </c>
      <c r="D34">
        <v>0.14001140000000001</v>
      </c>
      <c r="E34">
        <f t="shared" si="0"/>
        <v>38.288722799613019</v>
      </c>
      <c r="F34">
        <v>42.810789999999997</v>
      </c>
      <c r="G34">
        <v>47.583730000000003</v>
      </c>
      <c r="H34">
        <v>52.60886</v>
      </c>
      <c r="I34">
        <v>57.886180000000003</v>
      </c>
      <c r="J34">
        <v>63.415700000000001</v>
      </c>
      <c r="K34">
        <v>69.197410000000005</v>
      </c>
      <c r="L34">
        <v>75.231309999999993</v>
      </c>
      <c r="M34" s="4">
        <f t="shared" si="1"/>
        <v>81.519326496091978</v>
      </c>
    </row>
    <row r="35" spans="1:13" x14ac:dyDescent="0.2">
      <c r="A35">
        <v>15</v>
      </c>
      <c r="B35">
        <v>0.5</v>
      </c>
      <c r="C35">
        <v>58.222009999999997</v>
      </c>
      <c r="D35">
        <v>0.14001140000000001</v>
      </c>
      <c r="E35">
        <f t="shared" si="0"/>
        <v>38.510857025395303</v>
      </c>
      <c r="F35">
        <v>43.059159999999999</v>
      </c>
      <c r="G35">
        <v>47.859789999999997</v>
      </c>
      <c r="H35">
        <v>52.914070000000002</v>
      </c>
      <c r="I35">
        <v>58.222009999999997</v>
      </c>
      <c r="J35">
        <v>63.783610000000003</v>
      </c>
      <c r="K35">
        <v>69.598860000000002</v>
      </c>
      <c r="L35">
        <v>75.667760000000001</v>
      </c>
      <c r="M35" s="4">
        <f t="shared" si="1"/>
        <v>81.992265553690572</v>
      </c>
    </row>
    <row r="36" spans="1:13" x14ac:dyDescent="0.2">
      <c r="A36">
        <v>15.5</v>
      </c>
      <c r="B36">
        <v>0.5</v>
      </c>
      <c r="C36">
        <v>58.650350000000003</v>
      </c>
      <c r="D36">
        <v>0.14001140000000001</v>
      </c>
      <c r="E36">
        <f t="shared" si="0"/>
        <v>38.794181845308906</v>
      </c>
      <c r="F36">
        <v>43.375950000000003</v>
      </c>
      <c r="G36">
        <v>48.211889999999997</v>
      </c>
      <c r="H36">
        <v>53.303359999999998</v>
      </c>
      <c r="I36">
        <v>58.650350000000003</v>
      </c>
      <c r="J36">
        <v>64.252859999999998</v>
      </c>
      <c r="K36">
        <v>70.110889999999998</v>
      </c>
      <c r="L36">
        <v>76.224450000000004</v>
      </c>
      <c r="M36" s="4">
        <f t="shared" si="1"/>
        <v>82.595483598331555</v>
      </c>
    </row>
    <row r="37" spans="1:13" x14ac:dyDescent="0.2">
      <c r="A37">
        <v>16</v>
      </c>
      <c r="B37">
        <v>0.5</v>
      </c>
      <c r="C37">
        <v>59.151960000000003</v>
      </c>
      <c r="D37">
        <v>0.14001140000000001</v>
      </c>
      <c r="E37">
        <f t="shared" si="0"/>
        <v>39.125970991587238</v>
      </c>
      <c r="F37">
        <v>43.746920000000003</v>
      </c>
      <c r="G37">
        <v>48.624229999999997</v>
      </c>
      <c r="H37">
        <v>53.759239999999998</v>
      </c>
      <c r="I37">
        <v>59.151960000000003</v>
      </c>
      <c r="J37">
        <v>64.802390000000003</v>
      </c>
      <c r="K37">
        <v>70.710530000000006</v>
      </c>
      <c r="L37">
        <v>76.876369999999994</v>
      </c>
      <c r="M37" s="4">
        <f t="shared" si="1"/>
        <v>83.301885529910123</v>
      </c>
    </row>
    <row r="38" spans="1:13" x14ac:dyDescent="0.2">
      <c r="A38">
        <v>16.5</v>
      </c>
      <c r="B38">
        <v>0.5</v>
      </c>
      <c r="C38">
        <v>59.676310000000001</v>
      </c>
      <c r="D38">
        <v>0.14001140000000001</v>
      </c>
      <c r="E38">
        <f t="shared" si="0"/>
        <v>39.472801475132314</v>
      </c>
      <c r="F38">
        <v>44.134709999999998</v>
      </c>
      <c r="G38">
        <v>49.055250000000001</v>
      </c>
      <c r="H38">
        <v>54.235779999999998</v>
      </c>
      <c r="I38">
        <v>59.676310000000001</v>
      </c>
      <c r="J38">
        <v>65.376819999999995</v>
      </c>
      <c r="K38">
        <v>71.337329999999994</v>
      </c>
      <c r="L38">
        <v>77.557829999999996</v>
      </c>
      <c r="M38" s="4">
        <f t="shared" si="1"/>
        <v>84.04031150392025</v>
      </c>
    </row>
    <row r="39" spans="1:13" x14ac:dyDescent="0.2">
      <c r="A39">
        <v>17</v>
      </c>
      <c r="B39">
        <v>0.5</v>
      </c>
      <c r="C39">
        <v>60.188020000000002</v>
      </c>
      <c r="D39">
        <v>0.14001140000000001</v>
      </c>
      <c r="E39">
        <f t="shared" si="0"/>
        <v>39.811271250539669</v>
      </c>
      <c r="F39">
        <v>44.513159999999999</v>
      </c>
      <c r="G39">
        <v>49.47589</v>
      </c>
      <c r="H39">
        <v>54.700850000000003</v>
      </c>
      <c r="I39">
        <v>60.188020000000002</v>
      </c>
      <c r="J39">
        <v>65.937420000000003</v>
      </c>
      <c r="K39">
        <v>71.949039999999997</v>
      </c>
      <c r="L39">
        <v>78.222880000000004</v>
      </c>
      <c r="M39" s="4">
        <f t="shared" si="1"/>
        <v>84.760936954784611</v>
      </c>
    </row>
    <row r="40" spans="1:13" x14ac:dyDescent="0.2">
      <c r="A40">
        <v>17.5</v>
      </c>
      <c r="B40">
        <v>0.5</v>
      </c>
      <c r="C40">
        <v>60.665999999999997</v>
      </c>
      <c r="D40">
        <v>0.14001140000000001</v>
      </c>
      <c r="E40">
        <f t="shared" si="0"/>
        <v>40.127430370449794</v>
      </c>
      <c r="F40">
        <v>44.86665</v>
      </c>
      <c r="G40">
        <v>49.8688</v>
      </c>
      <c r="H40">
        <v>55.135249999999999</v>
      </c>
      <c r="I40">
        <v>60.665999999999997</v>
      </c>
      <c r="J40">
        <v>66.46105</v>
      </c>
      <c r="K40">
        <v>72.520409999999998</v>
      </c>
      <c r="L40">
        <v>78.844070000000002</v>
      </c>
      <c r="M40" s="4">
        <f t="shared" si="1"/>
        <v>85.434061484311371</v>
      </c>
    </row>
    <row r="41" spans="1:13" x14ac:dyDescent="0.2">
      <c r="A41">
        <v>18</v>
      </c>
      <c r="B41">
        <v>0.5</v>
      </c>
      <c r="C41">
        <v>61.117089999999997</v>
      </c>
      <c r="D41">
        <v>0.14001140000000001</v>
      </c>
      <c r="E41">
        <f t="shared" si="0"/>
        <v>40.425803142114418</v>
      </c>
      <c r="F41">
        <v>45.200270000000003</v>
      </c>
      <c r="G41">
        <v>50.239609999999999</v>
      </c>
      <c r="H41">
        <v>55.54522</v>
      </c>
      <c r="I41">
        <v>61.117089999999997</v>
      </c>
      <c r="J41">
        <v>66.955240000000003</v>
      </c>
      <c r="K41">
        <v>73.059650000000005</v>
      </c>
      <c r="L41">
        <v>79.430329999999998</v>
      </c>
      <c r="M41" s="4">
        <f t="shared" si="1"/>
        <v>86.069317654076286</v>
      </c>
    </row>
    <row r="42" spans="1:13" x14ac:dyDescent="0.2">
      <c r="A42">
        <v>18.5</v>
      </c>
      <c r="B42">
        <v>0.5</v>
      </c>
      <c r="C42">
        <v>61.555799999999998</v>
      </c>
      <c r="D42">
        <v>0.14001140000000001</v>
      </c>
      <c r="E42">
        <f t="shared" si="0"/>
        <v>40.715987182232773</v>
      </c>
      <c r="F42">
        <v>45.524729999999998</v>
      </c>
      <c r="G42">
        <v>50.600239999999999</v>
      </c>
      <c r="H42">
        <v>55.943930000000002</v>
      </c>
      <c r="I42">
        <v>61.555799999999998</v>
      </c>
      <c r="J42">
        <v>67.435850000000002</v>
      </c>
      <c r="K42">
        <v>73.58408</v>
      </c>
      <c r="L42">
        <v>80.000500000000002</v>
      </c>
      <c r="M42" s="4">
        <f t="shared" si="1"/>
        <v>86.687139450696833</v>
      </c>
    </row>
    <row r="43" spans="1:13" x14ac:dyDescent="0.2">
      <c r="A43">
        <v>19</v>
      </c>
      <c r="B43">
        <v>0.5</v>
      </c>
      <c r="C43">
        <v>61.986449999999998</v>
      </c>
      <c r="D43">
        <v>0.14001140000000001</v>
      </c>
      <c r="E43">
        <f t="shared" si="0"/>
        <v>41.000839948016477</v>
      </c>
      <c r="F43">
        <v>45.843220000000002</v>
      </c>
      <c r="G43">
        <v>50.954239999999999</v>
      </c>
      <c r="H43">
        <v>56.335320000000003</v>
      </c>
      <c r="I43">
        <v>61.986449999999998</v>
      </c>
      <c r="J43">
        <v>67.907640000000001</v>
      </c>
      <c r="K43">
        <v>74.098879999999994</v>
      </c>
      <c r="L43">
        <v>80.560190000000006</v>
      </c>
      <c r="M43" s="4">
        <f t="shared" si="1"/>
        <v>87.293610597273485</v>
      </c>
    </row>
    <row r="44" spans="1:13" x14ac:dyDescent="0.2">
      <c r="A44">
        <v>19.5</v>
      </c>
      <c r="B44">
        <v>0.5</v>
      </c>
      <c r="C44">
        <v>62.40428</v>
      </c>
      <c r="D44">
        <v>0.14001140000000001</v>
      </c>
      <c r="E44">
        <f t="shared" si="0"/>
        <v>41.277212944945319</v>
      </c>
      <c r="F44">
        <v>46.152230000000003</v>
      </c>
      <c r="G44">
        <v>51.297699999999999</v>
      </c>
      <c r="H44">
        <v>56.715049999999998</v>
      </c>
      <c r="I44">
        <v>62.40428</v>
      </c>
      <c r="J44">
        <v>68.365380000000002</v>
      </c>
      <c r="K44">
        <v>74.59836</v>
      </c>
      <c r="L44">
        <v>81.103210000000004</v>
      </c>
      <c r="M44" s="4">
        <f t="shared" si="1"/>
        <v>87.882027732241838</v>
      </c>
    </row>
    <row r="45" spans="1:13" x14ac:dyDescent="0.2">
      <c r="A45">
        <v>20</v>
      </c>
      <c r="B45">
        <v>0.5</v>
      </c>
      <c r="C45">
        <v>62.804409999999997</v>
      </c>
      <c r="D45">
        <v>0.14001140000000001</v>
      </c>
      <c r="E45">
        <f t="shared" si="0"/>
        <v>41.541878304687643</v>
      </c>
      <c r="F45">
        <v>46.448160000000001</v>
      </c>
      <c r="G45">
        <v>51.626629999999999</v>
      </c>
      <c r="H45">
        <v>57.078710000000001</v>
      </c>
      <c r="I45">
        <v>62.804409999999997</v>
      </c>
      <c r="J45">
        <v>68.803730000000002</v>
      </c>
      <c r="K45">
        <v>75.076679999999996</v>
      </c>
      <c r="L45">
        <v>81.623249999999999</v>
      </c>
      <c r="M45" s="4">
        <f t="shared" si="1"/>
        <v>88.44551850172914</v>
      </c>
    </row>
    <row r="46" spans="1:13" x14ac:dyDescent="0.2">
      <c r="A46">
        <v>20.5</v>
      </c>
      <c r="B46">
        <v>0.5</v>
      </c>
      <c r="C46">
        <v>63.18853</v>
      </c>
      <c r="D46">
        <v>0.14001140000000001</v>
      </c>
      <c r="E46">
        <f t="shared" si="0"/>
        <v>41.795953875087825</v>
      </c>
      <c r="F46">
        <v>46.732239999999997</v>
      </c>
      <c r="G46">
        <v>51.94238</v>
      </c>
      <c r="H46">
        <v>57.427799999999998</v>
      </c>
      <c r="I46">
        <v>63.18853</v>
      </c>
      <c r="J46">
        <v>69.224540000000005</v>
      </c>
      <c r="K46">
        <v>75.535849999999996</v>
      </c>
      <c r="L46">
        <v>82.122450000000001</v>
      </c>
      <c r="M46" s="4">
        <f t="shared" si="1"/>
        <v>88.986462880744639</v>
      </c>
    </row>
    <row r="47" spans="1:13" x14ac:dyDescent="0.2">
      <c r="A47">
        <v>21</v>
      </c>
      <c r="B47">
        <v>0.5</v>
      </c>
      <c r="C47">
        <v>63.560890000000001</v>
      </c>
      <c r="D47">
        <v>0.14001140000000001</v>
      </c>
      <c r="E47">
        <f t="shared" si="0"/>
        <v>42.04225081196747</v>
      </c>
      <c r="F47">
        <v>47.007629999999999</v>
      </c>
      <c r="G47">
        <v>52.248469999999998</v>
      </c>
      <c r="H47">
        <v>57.766219999999997</v>
      </c>
      <c r="I47">
        <v>63.560890000000001</v>
      </c>
      <c r="J47">
        <v>69.632480000000001</v>
      </c>
      <c r="K47">
        <v>75.980980000000002</v>
      </c>
      <c r="L47">
        <v>82.606399999999994</v>
      </c>
      <c r="M47" s="4">
        <f t="shared" si="1"/>
        <v>89.510846013542221</v>
      </c>
    </row>
    <row r="48" spans="1:13" x14ac:dyDescent="0.2">
      <c r="A48">
        <v>21.5</v>
      </c>
      <c r="B48">
        <v>0.5</v>
      </c>
      <c r="C48">
        <v>63.927849999999999</v>
      </c>
      <c r="D48">
        <v>0.14001140000000001</v>
      </c>
      <c r="E48">
        <f t="shared" si="0"/>
        <v>42.284975927332589</v>
      </c>
      <c r="F48">
        <v>47.27901</v>
      </c>
      <c r="G48">
        <v>52.550109999999997</v>
      </c>
      <c r="H48">
        <v>58.099719999999998</v>
      </c>
      <c r="I48">
        <v>63.927849999999999</v>
      </c>
      <c r="J48">
        <v>70.034480000000002</v>
      </c>
      <c r="K48">
        <v>76.419640000000001</v>
      </c>
      <c r="L48">
        <v>83.083309999999997</v>
      </c>
      <c r="M48" s="4">
        <f t="shared" si="1"/>
        <v>90.027624492464241</v>
      </c>
    </row>
    <row r="49" spans="1:13" x14ac:dyDescent="0.2">
      <c r="A49">
        <v>22</v>
      </c>
      <c r="B49">
        <v>0.5</v>
      </c>
      <c r="C49">
        <v>64.291489999999996</v>
      </c>
      <c r="D49">
        <v>0.14001140000000001</v>
      </c>
      <c r="E49">
        <f t="shared" si="0"/>
        <v>42.525505033914698</v>
      </c>
      <c r="F49">
        <v>47.54795</v>
      </c>
      <c r="G49">
        <v>52.849029999999999</v>
      </c>
      <c r="H49">
        <v>58.430210000000002</v>
      </c>
      <c r="I49">
        <v>64.291489999999996</v>
      </c>
      <c r="J49">
        <v>70.432860000000005</v>
      </c>
      <c r="K49">
        <v>76.854339999999993</v>
      </c>
      <c r="L49">
        <v>83.555909999999997</v>
      </c>
      <c r="M49" s="4">
        <f t="shared" si="1"/>
        <v>90.53972751752201</v>
      </c>
    </row>
    <row r="50" spans="1:13" x14ac:dyDescent="0.2">
      <c r="A50">
        <v>22.5</v>
      </c>
      <c r="B50">
        <v>0.5</v>
      </c>
      <c r="C50">
        <v>64.651719999999997</v>
      </c>
      <c r="D50">
        <v>0.14001140000000001</v>
      </c>
      <c r="E50">
        <f t="shared" si="0"/>
        <v>42.763778601355227</v>
      </c>
      <c r="F50">
        <v>47.814369999999997</v>
      </c>
      <c r="G50">
        <v>53.145150000000001</v>
      </c>
      <c r="H50">
        <v>58.757599999999996</v>
      </c>
      <c r="I50">
        <v>64.651719999999997</v>
      </c>
      <c r="J50">
        <v>70.827510000000004</v>
      </c>
      <c r="K50">
        <v>77.284959999999998</v>
      </c>
      <c r="L50">
        <v>84.024079999999998</v>
      </c>
      <c r="M50" s="4">
        <f t="shared" si="1"/>
        <v>91.047028344484289</v>
      </c>
    </row>
    <row r="51" spans="1:13" x14ac:dyDescent="0.2">
      <c r="A51">
        <v>23</v>
      </c>
      <c r="B51">
        <v>0.5</v>
      </c>
      <c r="C51">
        <v>65.008380000000002</v>
      </c>
      <c r="D51">
        <v>0.14001140000000001</v>
      </c>
      <c r="E51">
        <f t="shared" si="0"/>
        <v>42.9996907979056</v>
      </c>
      <c r="F51">
        <v>48.078150000000001</v>
      </c>
      <c r="G51">
        <v>53.438339999999997</v>
      </c>
      <c r="H51">
        <v>59.08175</v>
      </c>
      <c r="I51">
        <v>65.008380000000002</v>
      </c>
      <c r="J51">
        <v>71.218239999999994</v>
      </c>
      <c r="K51">
        <v>77.711320000000001</v>
      </c>
      <c r="L51">
        <v>84.487620000000007</v>
      </c>
      <c r="M51" s="4">
        <f t="shared" si="1"/>
        <v>91.549301650273279</v>
      </c>
    </row>
    <row r="52" spans="1:13" x14ac:dyDescent="0.2">
      <c r="A52">
        <v>23.5</v>
      </c>
      <c r="B52">
        <v>0.5</v>
      </c>
      <c r="C52">
        <v>65.366699999999994</v>
      </c>
      <c r="D52">
        <v>0.14001140000000001</v>
      </c>
      <c r="E52">
        <f t="shared" si="0"/>
        <v>43.236700998847468</v>
      </c>
      <c r="F52">
        <v>48.343150000000001</v>
      </c>
      <c r="G52">
        <v>53.732880000000002</v>
      </c>
      <c r="H52">
        <v>59.407400000000003</v>
      </c>
      <c r="I52">
        <v>65.366699999999994</v>
      </c>
      <c r="J52">
        <v>71.610789999999994</v>
      </c>
      <c r="K52">
        <v>78.139650000000003</v>
      </c>
      <c r="L52">
        <v>84.953299999999999</v>
      </c>
      <c r="M52" s="4">
        <f t="shared" si="1"/>
        <v>92.053912682994365</v>
      </c>
    </row>
    <row r="53" spans="1:13" x14ac:dyDescent="0.2">
      <c r="A53">
        <v>24</v>
      </c>
      <c r="B53">
        <v>0.5</v>
      </c>
      <c r="C53">
        <v>65.729119999999995</v>
      </c>
      <c r="D53">
        <v>0.14001140000000001</v>
      </c>
      <c r="E53">
        <f t="shared" si="0"/>
        <v>43.476423138346668</v>
      </c>
      <c r="F53">
        <v>48.611179999999997</v>
      </c>
      <c r="G53">
        <v>54.030799999999999</v>
      </c>
      <c r="H53">
        <v>59.736780000000003</v>
      </c>
      <c r="I53">
        <v>65.729119999999995</v>
      </c>
      <c r="J53">
        <v>72.007819999999995</v>
      </c>
      <c r="K53">
        <v>78.572890000000001</v>
      </c>
      <c r="L53">
        <v>85.424319999999994</v>
      </c>
      <c r="M53" s="4">
        <f t="shared" si="1"/>
        <v>92.564297619583954</v>
      </c>
    </row>
    <row r="54" spans="1:13" x14ac:dyDescent="0.2">
      <c r="C54">
        <v>90</v>
      </c>
      <c r="D54" s="2">
        <f>((C54/C53)^B53-1)/(B53*D53)</f>
        <v>2.4305475024645751</v>
      </c>
      <c r="E54" s="5">
        <f>100*NORMSDIST(D54)</f>
        <v>99.246198516286924</v>
      </c>
    </row>
  </sheetData>
  <phoneticPr fontId="1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D4A-D6A4-7F4E-9854-970F7FD12FFA}">
  <dimension ref="A1:M52"/>
  <sheetViews>
    <sheetView topLeftCell="A8" workbookViewId="0">
      <selection activeCell="E13" sqref="E13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17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18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5</v>
      </c>
      <c r="D10">
        <v>1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4.5</v>
      </c>
      <c r="B13">
        <v>0.33333299999999999</v>
      </c>
      <c r="C13">
        <v>74.103660000000005</v>
      </c>
      <c r="D13">
        <v>0.1036455</v>
      </c>
      <c r="E13" s="3">
        <f>C13*(1+(B13*D13*-2.667))^(1/B13)</f>
        <v>55.449175212540879</v>
      </c>
      <c r="F13">
        <v>59.778919999999999</v>
      </c>
      <c r="G13">
        <v>64.326999999999998</v>
      </c>
      <c r="H13">
        <v>69.100110000000001</v>
      </c>
      <c r="I13">
        <v>74.103660000000005</v>
      </c>
      <c r="J13">
        <v>79.343109999999996</v>
      </c>
      <c r="K13">
        <v>84.823880000000003</v>
      </c>
      <c r="L13">
        <v>90.551410000000004</v>
      </c>
      <c r="M13" s="4">
        <f>C13*(1+(B13*D13*2.667))^(1/B13)</f>
        <v>96.532958732649661</v>
      </c>
    </row>
    <row r="14" spans="1:13" x14ac:dyDescent="0.2">
      <c r="A14">
        <v>5</v>
      </c>
      <c r="B14">
        <v>0.33333299999999999</v>
      </c>
      <c r="C14">
        <v>74.399019999999993</v>
      </c>
      <c r="D14">
        <v>0.1036455</v>
      </c>
      <c r="E14" s="3">
        <f t="shared" ref="E14:E52" si="0">C14*(1+(B14*D14*-2.667))^(1/B14)</f>
        <v>55.670182763190546</v>
      </c>
      <c r="F14">
        <v>60.017189999999999</v>
      </c>
      <c r="G14">
        <v>64.583389999999994</v>
      </c>
      <c r="H14">
        <v>69.375519999999995</v>
      </c>
      <c r="I14">
        <v>74.399019999999993</v>
      </c>
      <c r="J14">
        <v>79.659350000000003</v>
      </c>
      <c r="K14">
        <v>85.161959999999993</v>
      </c>
      <c r="L14">
        <v>90.912319999999994</v>
      </c>
      <c r="M14" s="4">
        <f t="shared" ref="M14:M52" si="1">C14*(1+(B14*D14*2.667))^(1/B14)</f>
        <v>96.917716714796214</v>
      </c>
    </row>
    <row r="15" spans="1:13" x14ac:dyDescent="0.2">
      <c r="A15">
        <v>5.5</v>
      </c>
      <c r="B15">
        <v>0.33333299999999999</v>
      </c>
      <c r="C15">
        <v>74.695080000000004</v>
      </c>
      <c r="D15">
        <v>0.1036455</v>
      </c>
      <c r="E15" s="3">
        <f t="shared" si="0"/>
        <v>55.891714099340817</v>
      </c>
      <c r="F15">
        <v>60.256019999999999</v>
      </c>
      <c r="G15">
        <v>64.840389999999999</v>
      </c>
      <c r="H15">
        <v>69.651579999999996</v>
      </c>
      <c r="I15">
        <v>74.695080000000004</v>
      </c>
      <c r="J15">
        <v>79.976339999999993</v>
      </c>
      <c r="K15">
        <v>85.50085</v>
      </c>
      <c r="L15">
        <v>91.274090000000001</v>
      </c>
      <c r="M15" s="4">
        <f t="shared" si="1"/>
        <v>97.303386569191915</v>
      </c>
    </row>
    <row r="16" spans="1:13" x14ac:dyDescent="0.2">
      <c r="A16">
        <v>6</v>
      </c>
      <c r="B16">
        <v>0.33333299999999999</v>
      </c>
      <c r="C16">
        <v>74.99288</v>
      </c>
      <c r="D16">
        <v>0.1036455</v>
      </c>
      <c r="E16" s="3">
        <f t="shared" si="0"/>
        <v>56.114547416592551</v>
      </c>
      <c r="F16">
        <v>60.496250000000003</v>
      </c>
      <c r="G16">
        <v>65.098910000000004</v>
      </c>
      <c r="H16">
        <v>69.929280000000006</v>
      </c>
      <c r="I16">
        <v>74.99288</v>
      </c>
      <c r="J16">
        <v>80.295199999999994</v>
      </c>
      <c r="K16">
        <v>85.841740000000001</v>
      </c>
      <c r="L16">
        <v>91.638000000000005</v>
      </c>
      <c r="M16" s="4">
        <f t="shared" si="1"/>
        <v>97.69132307746402</v>
      </c>
    </row>
    <row r="17" spans="1:13" x14ac:dyDescent="0.2">
      <c r="A17">
        <v>6.5</v>
      </c>
      <c r="B17">
        <v>0.33333299999999999</v>
      </c>
      <c r="C17">
        <v>75.289289999999994</v>
      </c>
      <c r="D17">
        <v>0.1036455</v>
      </c>
      <c r="E17" s="3">
        <f t="shared" si="0"/>
        <v>56.336340645493102</v>
      </c>
      <c r="F17">
        <v>60.73536</v>
      </c>
      <c r="G17">
        <v>65.356210000000004</v>
      </c>
      <c r="H17">
        <v>70.205680000000001</v>
      </c>
      <c r="I17">
        <v>75.289289999999994</v>
      </c>
      <c r="J17">
        <v>80.612570000000005</v>
      </c>
      <c r="K17">
        <v>86.181030000000007</v>
      </c>
      <c r="L17">
        <v>92.000200000000007</v>
      </c>
      <c r="M17" s="4">
        <f t="shared" si="1"/>
        <v>98.077448867984273</v>
      </c>
    </row>
    <row r="18" spans="1:13" x14ac:dyDescent="0.2">
      <c r="A18">
        <v>7</v>
      </c>
      <c r="B18">
        <v>0.33333299999999999</v>
      </c>
      <c r="C18">
        <v>75.584289999999996</v>
      </c>
      <c r="D18">
        <v>0.1036455</v>
      </c>
      <c r="E18" s="3">
        <f t="shared" si="0"/>
        <v>56.557078820742476</v>
      </c>
      <c r="F18">
        <v>60.97334</v>
      </c>
      <c r="G18">
        <v>65.612290000000002</v>
      </c>
      <c r="H18">
        <v>70.480760000000004</v>
      </c>
      <c r="I18">
        <v>75.584289999999996</v>
      </c>
      <c r="J18">
        <v>80.928430000000006</v>
      </c>
      <c r="K18">
        <v>86.518709999999999</v>
      </c>
      <c r="L18">
        <v>92.360680000000002</v>
      </c>
      <c r="M18" s="4">
        <f t="shared" si="1"/>
        <v>98.461737887259858</v>
      </c>
    </row>
    <row r="19" spans="1:13" x14ac:dyDescent="0.2">
      <c r="A19">
        <v>7.5</v>
      </c>
      <c r="B19">
        <v>0.33333299999999999</v>
      </c>
      <c r="C19">
        <v>75.873329999999996</v>
      </c>
      <c r="D19">
        <v>0.1036455</v>
      </c>
      <c r="E19" s="3">
        <f t="shared" si="0"/>
        <v>56.773357336586798</v>
      </c>
      <c r="F19">
        <v>61.206499999999998</v>
      </c>
      <c r="G19">
        <v>65.863190000000003</v>
      </c>
      <c r="H19">
        <v>70.750280000000004</v>
      </c>
      <c r="I19">
        <v>75.873329999999996</v>
      </c>
      <c r="J19">
        <v>81.237899999999996</v>
      </c>
      <c r="K19">
        <v>86.849559999999997</v>
      </c>
      <c r="L19">
        <v>92.71387</v>
      </c>
      <c r="M19" s="4">
        <f t="shared" si="1"/>
        <v>98.838262965671447</v>
      </c>
    </row>
    <row r="20" spans="1:13" x14ac:dyDescent="0.2">
      <c r="A20">
        <v>8</v>
      </c>
      <c r="B20">
        <v>0.33333299999999999</v>
      </c>
      <c r="C20">
        <v>76.155079999999998</v>
      </c>
      <c r="D20">
        <v>0.1036455</v>
      </c>
      <c r="E20" s="3">
        <f t="shared" si="0"/>
        <v>56.984181000574971</v>
      </c>
      <c r="F20">
        <v>61.433790000000002</v>
      </c>
      <c r="G20">
        <v>66.107770000000002</v>
      </c>
      <c r="H20">
        <v>71.013009999999994</v>
      </c>
      <c r="I20">
        <v>76.155079999999998</v>
      </c>
      <c r="J20">
        <v>81.539569999999998</v>
      </c>
      <c r="K20">
        <v>87.172070000000005</v>
      </c>
      <c r="L20">
        <v>93.058160000000001</v>
      </c>
      <c r="M20" s="4">
        <f t="shared" si="1"/>
        <v>99.20529154594567</v>
      </c>
    </row>
    <row r="21" spans="1:13" x14ac:dyDescent="0.2">
      <c r="A21">
        <v>8.5</v>
      </c>
      <c r="B21">
        <v>0.33333299999999999</v>
      </c>
      <c r="C21">
        <v>76.428740000000005</v>
      </c>
      <c r="D21">
        <v>0.1036455</v>
      </c>
      <c r="E21" s="3">
        <f t="shared" si="0"/>
        <v>57.188951200706306</v>
      </c>
      <c r="F21">
        <v>61.65455</v>
      </c>
      <c r="G21">
        <v>66.345330000000004</v>
      </c>
      <c r="H21">
        <v>71.268190000000004</v>
      </c>
      <c r="I21">
        <v>76.428740000000005</v>
      </c>
      <c r="J21">
        <v>81.832579999999993</v>
      </c>
      <c r="K21">
        <v>87.485320000000002</v>
      </c>
      <c r="L21">
        <v>93.392560000000003</v>
      </c>
      <c r="M21" s="4">
        <f t="shared" si="1"/>
        <v>99.561781488369263</v>
      </c>
    </row>
    <row r="22" spans="1:13" x14ac:dyDescent="0.2">
      <c r="A22">
        <v>9</v>
      </c>
      <c r="B22">
        <v>0.33333299999999999</v>
      </c>
      <c r="C22">
        <v>76.695890000000006</v>
      </c>
      <c r="D22">
        <v>0.1036455</v>
      </c>
      <c r="E22" s="3">
        <f t="shared" si="0"/>
        <v>57.388850195682132</v>
      </c>
      <c r="F22">
        <v>61.870060000000002</v>
      </c>
      <c r="G22">
        <v>66.57723</v>
      </c>
      <c r="H22">
        <v>71.517300000000006</v>
      </c>
      <c r="I22">
        <v>76.695890000000006</v>
      </c>
      <c r="J22">
        <v>82.118620000000007</v>
      </c>
      <c r="K22">
        <v>87.791120000000006</v>
      </c>
      <c r="L22">
        <v>93.719009999999997</v>
      </c>
      <c r="M22" s="4">
        <f t="shared" si="1"/>
        <v>99.90979101887595</v>
      </c>
    </row>
    <row r="23" spans="1:13" x14ac:dyDescent="0.2">
      <c r="A23">
        <v>9.5</v>
      </c>
      <c r="B23">
        <v>0.33333299999999999</v>
      </c>
      <c r="C23">
        <v>76.954139999999995</v>
      </c>
      <c r="D23">
        <v>0.1036455</v>
      </c>
      <c r="E23" s="3">
        <f t="shared" si="0"/>
        <v>57.582089632150428</v>
      </c>
      <c r="F23">
        <v>62.078389999999999</v>
      </c>
      <c r="G23">
        <v>66.801410000000004</v>
      </c>
      <c r="H23">
        <v>71.758110000000002</v>
      </c>
      <c r="I23">
        <v>76.954139999999995</v>
      </c>
      <c r="J23">
        <v>82.395129999999995</v>
      </c>
      <c r="K23">
        <v>88.086730000000003</v>
      </c>
      <c r="L23">
        <v>94.034580000000005</v>
      </c>
      <c r="M23" s="4">
        <f t="shared" si="1"/>
        <v>100.24620674507229</v>
      </c>
    </row>
    <row r="24" spans="1:13" x14ac:dyDescent="0.2">
      <c r="A24">
        <v>10</v>
      </c>
      <c r="B24">
        <v>0.33333299999999999</v>
      </c>
      <c r="C24">
        <v>77.203670000000002</v>
      </c>
      <c r="D24">
        <v>0.1036455</v>
      </c>
      <c r="E24" s="3">
        <f t="shared" si="0"/>
        <v>57.768804197811363</v>
      </c>
      <c r="F24">
        <v>62.279679999999999</v>
      </c>
      <c r="G24">
        <v>67.018010000000004</v>
      </c>
      <c r="H24">
        <v>71.990790000000004</v>
      </c>
      <c r="I24">
        <v>77.203670000000002</v>
      </c>
      <c r="J24">
        <v>82.662300000000002</v>
      </c>
      <c r="K24">
        <v>88.372349999999997</v>
      </c>
      <c r="L24">
        <v>94.339489999999998</v>
      </c>
      <c r="M24" s="4">
        <f t="shared" si="1"/>
        <v>100.57126314839378</v>
      </c>
    </row>
    <row r="25" spans="1:13" x14ac:dyDescent="0.2">
      <c r="A25">
        <v>10.5</v>
      </c>
      <c r="B25">
        <v>0.33333299999999999</v>
      </c>
      <c r="C25">
        <v>77.448909999999998</v>
      </c>
      <c r="D25">
        <v>0.1036455</v>
      </c>
      <c r="E25" s="3">
        <f t="shared" si="0"/>
        <v>57.952308706618666</v>
      </c>
      <c r="F25">
        <v>62.477510000000002</v>
      </c>
      <c r="G25">
        <v>67.230900000000005</v>
      </c>
      <c r="H25">
        <v>72.219470000000001</v>
      </c>
      <c r="I25">
        <v>77.448909999999998</v>
      </c>
      <c r="J25">
        <v>82.924880000000002</v>
      </c>
      <c r="K25">
        <v>88.65307</v>
      </c>
      <c r="L25">
        <v>94.639150000000001</v>
      </c>
      <c r="M25" s="4">
        <f t="shared" si="1"/>
        <v>100.89073107750274</v>
      </c>
    </row>
    <row r="26" spans="1:13" x14ac:dyDescent="0.2">
      <c r="A26">
        <v>11</v>
      </c>
      <c r="B26">
        <v>0.33333299999999999</v>
      </c>
      <c r="C26">
        <v>77.699600000000004</v>
      </c>
      <c r="D26">
        <v>0.1036455</v>
      </c>
      <c r="E26" s="3">
        <f t="shared" si="0"/>
        <v>58.139891259680581</v>
      </c>
      <c r="F26">
        <v>62.679740000000002</v>
      </c>
      <c r="G26">
        <v>67.448520000000002</v>
      </c>
      <c r="H26">
        <v>72.453239999999994</v>
      </c>
      <c r="I26">
        <v>77.699600000000004</v>
      </c>
      <c r="J26">
        <v>83.193299999999994</v>
      </c>
      <c r="K26">
        <v>88.940029999999993</v>
      </c>
      <c r="L26">
        <v>94.945499999999996</v>
      </c>
      <c r="M26" s="4">
        <f t="shared" si="1"/>
        <v>101.21729858340849</v>
      </c>
    </row>
    <row r="27" spans="1:13" x14ac:dyDescent="0.2">
      <c r="A27">
        <v>11.5</v>
      </c>
      <c r="B27">
        <v>0.33333299999999999</v>
      </c>
      <c r="C27">
        <v>77.965320000000006</v>
      </c>
      <c r="D27">
        <v>0.1036455</v>
      </c>
      <c r="E27" s="3">
        <f t="shared" si="0"/>
        <v>58.338720235705196</v>
      </c>
      <c r="F27">
        <v>62.894100000000002</v>
      </c>
      <c r="G27">
        <v>67.679180000000002</v>
      </c>
      <c r="H27">
        <v>72.701009999999997</v>
      </c>
      <c r="I27">
        <v>77.965320000000006</v>
      </c>
      <c r="J27">
        <v>83.477800000000002</v>
      </c>
      <c r="K27">
        <v>89.244190000000003</v>
      </c>
      <c r="L27">
        <v>95.270189999999999</v>
      </c>
      <c r="M27" s="4">
        <f t="shared" si="1"/>
        <v>101.56344528917768</v>
      </c>
    </row>
    <row r="28" spans="1:13" x14ac:dyDescent="0.2">
      <c r="A28">
        <v>12</v>
      </c>
      <c r="B28">
        <v>0.33333299999999999</v>
      </c>
      <c r="C28">
        <v>78.250739999999993</v>
      </c>
      <c r="D28">
        <v>0.1036455</v>
      </c>
      <c r="E28" s="3">
        <f t="shared" si="0"/>
        <v>58.552290032246461</v>
      </c>
      <c r="F28">
        <v>63.124339999999997</v>
      </c>
      <c r="G28">
        <v>67.926950000000005</v>
      </c>
      <c r="H28">
        <v>72.967160000000007</v>
      </c>
      <c r="I28">
        <v>78.250739999999993</v>
      </c>
      <c r="J28">
        <v>83.783410000000003</v>
      </c>
      <c r="K28">
        <v>89.570899999999995</v>
      </c>
      <c r="L28">
        <v>95.618970000000004</v>
      </c>
      <c r="M28" s="4">
        <f t="shared" si="1"/>
        <v>101.93525468538661</v>
      </c>
    </row>
    <row r="29" spans="1:13" x14ac:dyDescent="0.2">
      <c r="A29">
        <v>12.5</v>
      </c>
      <c r="B29">
        <v>0.33333299999999999</v>
      </c>
      <c r="C29">
        <v>78.560069999999996</v>
      </c>
      <c r="D29">
        <v>0.1036455</v>
      </c>
      <c r="E29" s="3">
        <f t="shared" si="0"/>
        <v>58.783750844957943</v>
      </c>
      <c r="F29">
        <v>63.373869999999997</v>
      </c>
      <c r="G29">
        <v>68.19547</v>
      </c>
      <c r="H29">
        <v>73.255610000000004</v>
      </c>
      <c r="I29">
        <v>78.560069999999996</v>
      </c>
      <c r="J29">
        <v>84.114599999999996</v>
      </c>
      <c r="K29">
        <v>89.924970000000002</v>
      </c>
      <c r="L29">
        <v>95.996939999999995</v>
      </c>
      <c r="M29" s="4">
        <f t="shared" si="1"/>
        <v>102.3382110322765</v>
      </c>
    </row>
    <row r="30" spans="1:13" x14ac:dyDescent="0.2">
      <c r="A30">
        <v>13</v>
      </c>
      <c r="B30">
        <v>0.33333299999999999</v>
      </c>
      <c r="C30">
        <v>78.900700000000001</v>
      </c>
      <c r="D30">
        <v>0.1036455</v>
      </c>
      <c r="E30" s="3">
        <f t="shared" si="0"/>
        <v>59.038632352195883</v>
      </c>
      <c r="F30">
        <v>63.64866</v>
      </c>
      <c r="G30">
        <v>68.491150000000005</v>
      </c>
      <c r="H30">
        <v>73.573229999999995</v>
      </c>
      <c r="I30">
        <v>78.900700000000001</v>
      </c>
      <c r="J30">
        <v>84.479320000000001</v>
      </c>
      <c r="K30">
        <v>90.314880000000002</v>
      </c>
      <c r="L30">
        <v>96.413179999999997</v>
      </c>
      <c r="M30" s="4">
        <f t="shared" si="1"/>
        <v>102.78194109544887</v>
      </c>
    </row>
    <row r="31" spans="1:13" x14ac:dyDescent="0.2">
      <c r="A31">
        <v>13.5</v>
      </c>
      <c r="B31">
        <v>0.33333299999999999</v>
      </c>
      <c r="C31">
        <v>79.282089999999997</v>
      </c>
      <c r="D31">
        <v>0.1036455</v>
      </c>
      <c r="E31" s="3">
        <f t="shared" si="0"/>
        <v>59.324013140868274</v>
      </c>
      <c r="F31">
        <v>63.956330000000001</v>
      </c>
      <c r="G31">
        <v>68.822230000000005</v>
      </c>
      <c r="H31">
        <v>73.928880000000007</v>
      </c>
      <c r="I31">
        <v>79.282089999999997</v>
      </c>
      <c r="J31">
        <v>84.88767</v>
      </c>
      <c r="K31">
        <v>90.751450000000006</v>
      </c>
      <c r="L31">
        <v>96.879230000000007</v>
      </c>
      <c r="M31" s="4">
        <f t="shared" si="1"/>
        <v>103.27876817701332</v>
      </c>
    </row>
    <row r="32" spans="1:13" x14ac:dyDescent="0.2">
      <c r="A32">
        <v>14</v>
      </c>
      <c r="B32">
        <v>0.33333299999999999</v>
      </c>
      <c r="C32">
        <v>79.716639999999998</v>
      </c>
      <c r="D32">
        <v>0.1036455</v>
      </c>
      <c r="E32" s="3">
        <f t="shared" si="0"/>
        <v>59.649171696985611</v>
      </c>
      <c r="F32">
        <v>64.306880000000007</v>
      </c>
      <c r="G32">
        <v>69.199449999999999</v>
      </c>
      <c r="H32">
        <v>74.334090000000003</v>
      </c>
      <c r="I32">
        <v>79.716639999999998</v>
      </c>
      <c r="J32">
        <v>85.352959999999996</v>
      </c>
      <c r="K32">
        <v>91.248869999999997</v>
      </c>
      <c r="L32">
        <v>97.410229999999999</v>
      </c>
      <c r="M32" s="4">
        <f t="shared" si="1"/>
        <v>103.84484544252589</v>
      </c>
    </row>
    <row r="33" spans="1:13" x14ac:dyDescent="0.2">
      <c r="A33">
        <v>14.5</v>
      </c>
      <c r="B33">
        <v>0.33333299999999999</v>
      </c>
      <c r="C33">
        <v>80.215119999999999</v>
      </c>
      <c r="D33">
        <v>0.1036455</v>
      </c>
      <c r="E33" s="3">
        <f t="shared" si="0"/>
        <v>60.022166834606978</v>
      </c>
      <c r="F33">
        <v>64.709000000000003</v>
      </c>
      <c r="G33">
        <v>69.632159999999999</v>
      </c>
      <c r="H33">
        <v>74.798900000000003</v>
      </c>
      <c r="I33">
        <v>80.215119999999999</v>
      </c>
      <c r="J33">
        <v>85.886669999999995</v>
      </c>
      <c r="K33">
        <v>91.819460000000007</v>
      </c>
      <c r="L33">
        <v>98.019350000000003</v>
      </c>
      <c r="M33" s="4">
        <f t="shared" si="1"/>
        <v>104.49420269787673</v>
      </c>
    </row>
    <row r="34" spans="1:13" x14ac:dyDescent="0.2">
      <c r="A34">
        <v>15</v>
      </c>
      <c r="B34">
        <v>0.33333299999999999</v>
      </c>
      <c r="C34">
        <v>80.781400000000005</v>
      </c>
      <c r="D34">
        <v>0.1036455</v>
      </c>
      <c r="E34" s="3">
        <f t="shared" si="0"/>
        <v>60.445894339285672</v>
      </c>
      <c r="F34">
        <v>65.165819999999997</v>
      </c>
      <c r="G34">
        <v>70.123729999999995</v>
      </c>
      <c r="H34">
        <v>75.32696</v>
      </c>
      <c r="I34">
        <v>80.781400000000005</v>
      </c>
      <c r="J34">
        <v>86.492999999999995</v>
      </c>
      <c r="K34">
        <v>92.467659999999995</v>
      </c>
      <c r="L34">
        <v>98.711320000000001</v>
      </c>
      <c r="M34" s="4">
        <f t="shared" si="1"/>
        <v>105.23188129392886</v>
      </c>
    </row>
    <row r="35" spans="1:13" x14ac:dyDescent="0.2">
      <c r="A35">
        <v>15.5</v>
      </c>
      <c r="B35">
        <v>0.33333299999999999</v>
      </c>
      <c r="C35">
        <v>81.422650000000004</v>
      </c>
      <c r="D35">
        <v>0.1036455</v>
      </c>
      <c r="E35" s="3">
        <f t="shared" si="0"/>
        <v>60.925719271077725</v>
      </c>
      <c r="F35">
        <v>65.683099999999996</v>
      </c>
      <c r="G35">
        <v>70.680369999999996</v>
      </c>
      <c r="H35">
        <v>75.924899999999994</v>
      </c>
      <c r="I35">
        <v>81.422650000000004</v>
      </c>
      <c r="J35">
        <v>87.179580000000001</v>
      </c>
      <c r="K35">
        <v>93.201669999999993</v>
      </c>
      <c r="L35">
        <v>99.494889999999998</v>
      </c>
      <c r="M35" s="4">
        <f t="shared" si="1"/>
        <v>106.06722140786266</v>
      </c>
    </row>
    <row r="36" spans="1:13" x14ac:dyDescent="0.2">
      <c r="A36">
        <v>16</v>
      </c>
      <c r="B36">
        <v>0.33333299999999999</v>
      </c>
      <c r="C36">
        <v>82.148009999999999</v>
      </c>
      <c r="D36">
        <v>0.1036455</v>
      </c>
      <c r="E36" s="3">
        <f t="shared" si="0"/>
        <v>61.468480772090878</v>
      </c>
      <c r="F36">
        <v>66.268249999999995</v>
      </c>
      <c r="G36">
        <v>71.310040000000001</v>
      </c>
      <c r="H36">
        <v>76.601290000000006</v>
      </c>
      <c r="I36">
        <v>82.148009999999999</v>
      </c>
      <c r="J36">
        <v>87.956230000000005</v>
      </c>
      <c r="K36">
        <v>94.031970000000001</v>
      </c>
      <c r="L36">
        <v>100.3813</v>
      </c>
      <c r="M36" s="4">
        <f t="shared" si="1"/>
        <v>107.01212948590246</v>
      </c>
    </row>
    <row r="37" spans="1:13" x14ac:dyDescent="0.2">
      <c r="A37">
        <v>16.5</v>
      </c>
      <c r="B37">
        <v>0.33333299999999999</v>
      </c>
      <c r="C37">
        <v>82.955349999999996</v>
      </c>
      <c r="D37">
        <v>0.1036455</v>
      </c>
      <c r="E37" s="3">
        <f t="shared" si="0"/>
        <v>62.072585037873331</v>
      </c>
      <c r="F37">
        <v>66.919529999999995</v>
      </c>
      <c r="G37">
        <v>72.010869999999997</v>
      </c>
      <c r="H37">
        <v>77.354119999999995</v>
      </c>
      <c r="I37">
        <v>82.955349999999996</v>
      </c>
      <c r="J37">
        <v>88.820660000000004</v>
      </c>
      <c r="K37">
        <v>94.956109999999995</v>
      </c>
      <c r="L37">
        <v>101.3678</v>
      </c>
      <c r="M37" s="4">
        <f t="shared" si="1"/>
        <v>108.06383083106162</v>
      </c>
    </row>
    <row r="38" spans="1:13" x14ac:dyDescent="0.2">
      <c r="A38">
        <v>17</v>
      </c>
      <c r="B38">
        <v>0.33333299999999999</v>
      </c>
      <c r="C38">
        <v>83.820139999999995</v>
      </c>
      <c r="D38">
        <v>0.1036455</v>
      </c>
      <c r="E38" s="3">
        <f t="shared" si="0"/>
        <v>62.719677127954355</v>
      </c>
      <c r="F38">
        <v>67.617140000000006</v>
      </c>
      <c r="G38">
        <v>72.761560000000003</v>
      </c>
      <c r="H38">
        <v>78.160510000000002</v>
      </c>
      <c r="I38">
        <v>83.820139999999995</v>
      </c>
      <c r="J38">
        <v>89.746579999999994</v>
      </c>
      <c r="K38">
        <v>95.945999999999998</v>
      </c>
      <c r="L38">
        <v>102.42449999999999</v>
      </c>
      <c r="M38" s="4">
        <f t="shared" si="1"/>
        <v>109.1903708343814</v>
      </c>
    </row>
    <row r="39" spans="1:13" x14ac:dyDescent="0.2">
      <c r="A39">
        <v>17.5</v>
      </c>
      <c r="B39">
        <v>0.33333299999999999</v>
      </c>
      <c r="C39">
        <v>84.693780000000004</v>
      </c>
      <c r="D39">
        <v>0.1036455</v>
      </c>
      <c r="E39" s="3">
        <f t="shared" si="0"/>
        <v>63.37339136329286</v>
      </c>
      <c r="F39">
        <v>68.321899999999999</v>
      </c>
      <c r="G39">
        <v>73.519940000000005</v>
      </c>
      <c r="H39">
        <v>78.975170000000006</v>
      </c>
      <c r="I39">
        <v>84.693780000000004</v>
      </c>
      <c r="J39">
        <v>90.681989999999999</v>
      </c>
      <c r="K39">
        <v>96.946020000000004</v>
      </c>
      <c r="L39">
        <v>103.49209999999999</v>
      </c>
      <c r="M39" s="4">
        <f t="shared" si="1"/>
        <v>110.32843950827946</v>
      </c>
    </row>
    <row r="40" spans="1:13" x14ac:dyDescent="0.2">
      <c r="A40">
        <v>18</v>
      </c>
      <c r="B40">
        <v>0.33333299999999999</v>
      </c>
      <c r="C40">
        <v>85.529390000000006</v>
      </c>
      <c r="D40">
        <v>0.1036455</v>
      </c>
      <c r="E40" s="3">
        <f t="shared" si="0"/>
        <v>63.998649080649216</v>
      </c>
      <c r="F40">
        <v>68.995980000000003</v>
      </c>
      <c r="G40">
        <v>74.245310000000003</v>
      </c>
      <c r="H40">
        <v>79.754350000000002</v>
      </c>
      <c r="I40">
        <v>85.529390000000006</v>
      </c>
      <c r="J40">
        <v>91.576679999999996</v>
      </c>
      <c r="K40">
        <v>97.902519999999996</v>
      </c>
      <c r="L40">
        <v>104.5132</v>
      </c>
      <c r="M40" s="4">
        <f t="shared" si="1"/>
        <v>111.41696746555701</v>
      </c>
    </row>
    <row r="41" spans="1:13" x14ac:dyDescent="0.2">
      <c r="A41">
        <v>18.5</v>
      </c>
      <c r="B41">
        <v>0.33333299999999999</v>
      </c>
      <c r="C41">
        <v>86.288730000000001</v>
      </c>
      <c r="D41">
        <v>0.1036455</v>
      </c>
      <c r="E41" s="3">
        <f t="shared" si="0"/>
        <v>64.566836626391094</v>
      </c>
      <c r="F41">
        <v>69.608540000000005</v>
      </c>
      <c r="G41">
        <v>74.904470000000003</v>
      </c>
      <c r="H41">
        <v>80.462429999999998</v>
      </c>
      <c r="I41">
        <v>86.288730000000001</v>
      </c>
      <c r="J41">
        <v>92.389719999999997</v>
      </c>
      <c r="K41">
        <v>98.771709999999999</v>
      </c>
      <c r="L41">
        <v>105.441</v>
      </c>
      <c r="M41" s="4">
        <f t="shared" si="1"/>
        <v>112.40614042791879</v>
      </c>
    </row>
    <row r="42" spans="1:13" x14ac:dyDescent="0.2">
      <c r="A42">
        <v>19</v>
      </c>
      <c r="B42">
        <v>0.33333299999999999</v>
      </c>
      <c r="C42">
        <v>86.952560000000005</v>
      </c>
      <c r="D42">
        <v>0.1036455</v>
      </c>
      <c r="E42" s="3">
        <f t="shared" si="0"/>
        <v>65.063557381902243</v>
      </c>
      <c r="F42">
        <v>70.144040000000004</v>
      </c>
      <c r="G42">
        <v>75.480720000000005</v>
      </c>
      <c r="H42">
        <v>81.081429999999997</v>
      </c>
      <c r="I42">
        <v>86.952560000000005</v>
      </c>
      <c r="J42">
        <v>93.100480000000005</v>
      </c>
      <c r="K42">
        <v>99.531570000000002</v>
      </c>
      <c r="L42">
        <v>106.2522</v>
      </c>
      <c r="M42" s="4">
        <f t="shared" si="1"/>
        <v>113.27089493526019</v>
      </c>
    </row>
    <row r="43" spans="1:13" x14ac:dyDescent="0.2">
      <c r="A43">
        <v>19.5</v>
      </c>
      <c r="B43">
        <v>0.33333299999999999</v>
      </c>
      <c r="C43">
        <v>87.527289999999994</v>
      </c>
      <c r="D43">
        <v>0.1036455</v>
      </c>
      <c r="E43" s="3">
        <f t="shared" si="0"/>
        <v>65.493607725838061</v>
      </c>
      <c r="F43">
        <v>70.607669999999999</v>
      </c>
      <c r="G43">
        <v>75.979619999999997</v>
      </c>
      <c r="H43">
        <v>81.617360000000005</v>
      </c>
      <c r="I43">
        <v>87.527289999999994</v>
      </c>
      <c r="J43">
        <v>93.715850000000003</v>
      </c>
      <c r="K43">
        <v>100.18940000000001</v>
      </c>
      <c r="L43">
        <v>106.9545</v>
      </c>
      <c r="M43" s="4">
        <f t="shared" si="1"/>
        <v>114.01958113203393</v>
      </c>
    </row>
    <row r="44" spans="1:13" x14ac:dyDescent="0.2">
      <c r="A44">
        <v>20</v>
      </c>
      <c r="B44">
        <v>0.33333299999999999</v>
      </c>
      <c r="C44">
        <v>88.034440000000004</v>
      </c>
      <c r="D44">
        <v>0.1036455</v>
      </c>
      <c r="E44" s="3">
        <f t="shared" si="0"/>
        <v>65.873090321016761</v>
      </c>
      <c r="F44">
        <v>71.01679</v>
      </c>
      <c r="G44">
        <v>76.41986</v>
      </c>
      <c r="H44">
        <v>82.090260000000001</v>
      </c>
      <c r="I44">
        <v>88.034440000000004</v>
      </c>
      <c r="J44">
        <v>94.258859999999999</v>
      </c>
      <c r="K44">
        <v>100.77</v>
      </c>
      <c r="L44">
        <v>107.5742</v>
      </c>
      <c r="M44" s="4">
        <f t="shared" si="1"/>
        <v>114.68023257652756</v>
      </c>
    </row>
    <row r="45" spans="1:13" x14ac:dyDescent="0.2">
      <c r="A45">
        <v>20.5</v>
      </c>
      <c r="B45">
        <v>0.33333299999999999</v>
      </c>
      <c r="C45">
        <v>88.489760000000004</v>
      </c>
      <c r="D45">
        <v>0.1036455</v>
      </c>
      <c r="E45" s="3">
        <f t="shared" si="0"/>
        <v>66.213790341201658</v>
      </c>
      <c r="F45">
        <v>71.38409</v>
      </c>
      <c r="G45">
        <v>76.815110000000004</v>
      </c>
      <c r="H45">
        <v>82.514840000000007</v>
      </c>
      <c r="I45">
        <v>88.489760000000004</v>
      </c>
      <c r="J45">
        <v>94.746369999999999</v>
      </c>
      <c r="K45">
        <v>101.2912</v>
      </c>
      <c r="L45">
        <v>108.1306</v>
      </c>
      <c r="M45" s="4">
        <f t="shared" si="1"/>
        <v>115.27336639434641</v>
      </c>
    </row>
    <row r="46" spans="1:13" x14ac:dyDescent="0.2">
      <c r="A46">
        <v>21</v>
      </c>
      <c r="B46">
        <v>0.33333299999999999</v>
      </c>
      <c r="C46">
        <v>88.900970000000001</v>
      </c>
      <c r="D46">
        <v>0.1036455</v>
      </c>
      <c r="E46" s="3">
        <f t="shared" si="0"/>
        <v>66.521484392199255</v>
      </c>
      <c r="F46">
        <v>71.715810000000005</v>
      </c>
      <c r="G46">
        <v>77.172070000000005</v>
      </c>
      <c r="H46">
        <v>82.89828</v>
      </c>
      <c r="I46">
        <v>88.900970000000001</v>
      </c>
      <c r="J46">
        <v>95.18665</v>
      </c>
      <c r="K46">
        <v>101.76179999999999</v>
      </c>
      <c r="L46">
        <v>108.6331</v>
      </c>
      <c r="M46" s="4">
        <f t="shared" si="1"/>
        <v>115.80903923372374</v>
      </c>
    </row>
    <row r="47" spans="1:13" x14ac:dyDescent="0.2">
      <c r="A47">
        <v>21.5</v>
      </c>
      <c r="B47">
        <v>0.33333299999999999</v>
      </c>
      <c r="C47">
        <v>89.272059999999996</v>
      </c>
      <c r="D47">
        <v>0.1036455</v>
      </c>
      <c r="E47" s="3">
        <f t="shared" si="0"/>
        <v>66.799158051362937</v>
      </c>
      <c r="F47">
        <v>72.015169999999998</v>
      </c>
      <c r="G47">
        <v>77.494190000000003</v>
      </c>
      <c r="H47">
        <v>83.244309999999999</v>
      </c>
      <c r="I47">
        <v>89.272059999999996</v>
      </c>
      <c r="J47">
        <v>95.583979999999997</v>
      </c>
      <c r="K47">
        <v>102.1866</v>
      </c>
      <c r="L47">
        <v>109.0865</v>
      </c>
      <c r="M47" s="4">
        <f t="shared" si="1"/>
        <v>116.29244876647959</v>
      </c>
    </row>
    <row r="48" spans="1:13" x14ac:dyDescent="0.2">
      <c r="A48">
        <v>22</v>
      </c>
      <c r="B48">
        <v>0.33333299999999999</v>
      </c>
      <c r="C48">
        <v>89.609030000000004</v>
      </c>
      <c r="D48">
        <v>0.1036455</v>
      </c>
      <c r="E48" s="3">
        <f t="shared" si="0"/>
        <v>67.051300908697797</v>
      </c>
      <c r="F48">
        <v>72.287000000000006</v>
      </c>
      <c r="G48">
        <v>77.786709999999999</v>
      </c>
      <c r="H48">
        <v>83.558530000000005</v>
      </c>
      <c r="I48">
        <v>89.609030000000004</v>
      </c>
      <c r="J48">
        <v>95.944779999999994</v>
      </c>
      <c r="K48">
        <v>102.5723</v>
      </c>
      <c r="L48">
        <v>109.4983</v>
      </c>
      <c r="M48" s="4">
        <f t="shared" si="1"/>
        <v>116.73141104046366</v>
      </c>
    </row>
    <row r="49" spans="1:13" x14ac:dyDescent="0.2">
      <c r="A49">
        <v>22.5</v>
      </c>
      <c r="B49">
        <v>0.33333299999999999</v>
      </c>
      <c r="C49">
        <v>89.918009999999995</v>
      </c>
      <c r="D49">
        <v>0.1036455</v>
      </c>
      <c r="E49" s="3">
        <f t="shared" si="0"/>
        <v>67.28249982865897</v>
      </c>
      <c r="F49">
        <v>72.536249999999995</v>
      </c>
      <c r="G49">
        <v>78.054919999999996</v>
      </c>
      <c r="H49">
        <v>83.846649999999997</v>
      </c>
      <c r="I49">
        <v>89.918009999999995</v>
      </c>
      <c r="J49">
        <v>96.275599999999997</v>
      </c>
      <c r="K49">
        <v>102.926</v>
      </c>
      <c r="L49">
        <v>109.8758</v>
      </c>
      <c r="M49" s="4">
        <f t="shared" si="1"/>
        <v>117.13391145122897</v>
      </c>
    </row>
    <row r="50" spans="1:13" x14ac:dyDescent="0.2">
      <c r="A50">
        <v>23</v>
      </c>
      <c r="B50">
        <v>0.33333299999999999</v>
      </c>
      <c r="C50">
        <v>90.207660000000004</v>
      </c>
      <c r="D50">
        <v>0.1036455</v>
      </c>
      <c r="E50" s="3">
        <f t="shared" si="0"/>
        <v>67.499234786153821</v>
      </c>
      <c r="F50">
        <v>72.769909999999996</v>
      </c>
      <c r="G50">
        <v>78.306370000000001</v>
      </c>
      <c r="H50">
        <v>84.116739999999993</v>
      </c>
      <c r="I50">
        <v>90.207660000000004</v>
      </c>
      <c r="J50">
        <v>96.585740000000001</v>
      </c>
      <c r="K50">
        <v>103.2576</v>
      </c>
      <c r="L50">
        <v>110.2298</v>
      </c>
      <c r="M50" s="4">
        <f t="shared" si="1"/>
        <v>117.51123116117195</v>
      </c>
    </row>
    <row r="51" spans="1:13" x14ac:dyDescent="0.2">
      <c r="A51">
        <v>23.5</v>
      </c>
      <c r="B51">
        <v>0.33333299999999999</v>
      </c>
      <c r="C51">
        <v>90.487110000000001</v>
      </c>
      <c r="D51">
        <v>0.1036455</v>
      </c>
      <c r="E51" s="3">
        <f t="shared" si="0"/>
        <v>67.708337440640037</v>
      </c>
      <c r="F51">
        <v>72.995350000000002</v>
      </c>
      <c r="G51">
        <v>78.548950000000005</v>
      </c>
      <c r="H51">
        <v>84.377330000000001</v>
      </c>
      <c r="I51">
        <v>90.487110000000001</v>
      </c>
      <c r="J51">
        <v>96.88494</v>
      </c>
      <c r="K51">
        <v>103.5775</v>
      </c>
      <c r="L51">
        <v>110.57129999999999</v>
      </c>
      <c r="M51" s="4">
        <f t="shared" si="1"/>
        <v>117.87526358977046</v>
      </c>
    </row>
    <row r="52" spans="1:13" x14ac:dyDescent="0.2">
      <c r="A52">
        <v>24</v>
      </c>
      <c r="B52">
        <v>0.33333299999999999</v>
      </c>
      <c r="C52">
        <v>90.763990000000007</v>
      </c>
      <c r="D52">
        <v>0.1036455</v>
      </c>
      <c r="E52" s="3">
        <f t="shared" si="0"/>
        <v>67.915517054074101</v>
      </c>
      <c r="F52">
        <v>73.218699999999998</v>
      </c>
      <c r="G52">
        <v>78.789299999999997</v>
      </c>
      <c r="H52">
        <v>84.635509999999996</v>
      </c>
      <c r="I52">
        <v>90.763990000000007</v>
      </c>
      <c r="J52">
        <v>97.181399999999996</v>
      </c>
      <c r="K52">
        <v>103.8944</v>
      </c>
      <c r="L52">
        <v>110.9096</v>
      </c>
      <c r="M52" s="4">
        <f t="shared" si="1"/>
        <v>118.23594814454005</v>
      </c>
    </row>
  </sheetData>
  <phoneticPr fontId="1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DFCE-C6D5-DB4A-914D-C8B41BF6033A}">
  <dimension ref="A1:M52"/>
  <sheetViews>
    <sheetView workbookViewId="0">
      <selection activeCell="E13" sqref="E13:M52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17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20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3</v>
      </c>
      <c r="D10">
        <v>1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4.5</v>
      </c>
      <c r="B13">
        <v>1.0000000000000001E-5</v>
      </c>
      <c r="C13">
        <v>74.153899999999993</v>
      </c>
      <c r="D13">
        <v>0.10470069999999999</v>
      </c>
      <c r="E13">
        <f>C13*(1+(B13*D13*-2.667))^(1/B13)</f>
        <v>56.087081320890029</v>
      </c>
      <c r="F13">
        <v>60.143349999999998</v>
      </c>
      <c r="G13">
        <v>64.491579999999999</v>
      </c>
      <c r="H13">
        <v>69.154200000000003</v>
      </c>
      <c r="I13">
        <v>74.153899999999993</v>
      </c>
      <c r="J13">
        <v>79.515079999999998</v>
      </c>
      <c r="K13">
        <v>85.263850000000005</v>
      </c>
      <c r="L13">
        <v>91.428250000000006</v>
      </c>
      <c r="M13">
        <f>C13*(1+(B13*D13*2.667))^(1/B13)</f>
        <v>98.040341343901972</v>
      </c>
    </row>
    <row r="14" spans="1:13" x14ac:dyDescent="0.2">
      <c r="A14">
        <v>5</v>
      </c>
      <c r="B14">
        <v>1.0000000000000001E-5</v>
      </c>
      <c r="C14">
        <v>74.477909999999994</v>
      </c>
      <c r="D14">
        <v>0.10470069999999999</v>
      </c>
      <c r="E14">
        <f t="shared" ref="E14:E52" si="0">C14*(1+(B14*D14*-2.667))^(1/B14)</f>
        <v>56.332149688417317</v>
      </c>
      <c r="F14">
        <v>60.406140000000001</v>
      </c>
      <c r="G14">
        <v>64.773380000000003</v>
      </c>
      <c r="H14">
        <v>69.456360000000004</v>
      </c>
      <c r="I14">
        <v>74.477909999999994</v>
      </c>
      <c r="J14">
        <v>79.86251</v>
      </c>
      <c r="K14">
        <v>85.636409999999998</v>
      </c>
      <c r="L14">
        <v>91.827740000000006</v>
      </c>
      <c r="M14">
        <f t="shared" ref="M14:M52" si="1">C14*(1+(B14*D14*2.667))^(1/B14)</f>
        <v>98.468721388631081</v>
      </c>
    </row>
    <row r="15" spans="1:13" x14ac:dyDescent="0.2">
      <c r="A15">
        <v>5.5</v>
      </c>
      <c r="B15">
        <v>1.0000000000000001E-5</v>
      </c>
      <c r="C15">
        <v>74.801959999999994</v>
      </c>
      <c r="D15">
        <v>0.10470069999999999</v>
      </c>
      <c r="E15">
        <f t="shared" si="0"/>
        <v>56.577248310364844</v>
      </c>
      <c r="F15">
        <v>60.668970000000002</v>
      </c>
      <c r="G15">
        <v>65.055210000000002</v>
      </c>
      <c r="H15">
        <v>69.758570000000006</v>
      </c>
      <c r="I15">
        <v>74.801959999999994</v>
      </c>
      <c r="J15">
        <v>80.209990000000005</v>
      </c>
      <c r="K15">
        <v>86.009010000000004</v>
      </c>
      <c r="L15">
        <v>92.227279999999993</v>
      </c>
      <c r="M15">
        <f t="shared" si="1"/>
        <v>98.897154318153227</v>
      </c>
    </row>
    <row r="16" spans="1:13" x14ac:dyDescent="0.2">
      <c r="A16">
        <v>6</v>
      </c>
      <c r="B16">
        <v>1.0000000000000001E-5</v>
      </c>
      <c r="C16">
        <v>75.126090000000005</v>
      </c>
      <c r="D16">
        <v>0.10470069999999999</v>
      </c>
      <c r="E16">
        <f t="shared" si="0"/>
        <v>56.822407441152848</v>
      </c>
      <c r="F16">
        <v>60.931849999999997</v>
      </c>
      <c r="G16">
        <v>65.337100000000007</v>
      </c>
      <c r="H16">
        <v>70.060839999999999</v>
      </c>
      <c r="I16">
        <v>75.126090000000005</v>
      </c>
      <c r="J16">
        <v>80.557550000000006</v>
      </c>
      <c r="K16">
        <v>86.381699999999995</v>
      </c>
      <c r="L16">
        <v>92.626909999999995</v>
      </c>
      <c r="M16">
        <f t="shared" si="1"/>
        <v>99.325693017261429</v>
      </c>
    </row>
    <row r="17" spans="1:13" x14ac:dyDescent="0.2">
      <c r="A17">
        <v>6.5</v>
      </c>
      <c r="B17">
        <v>1.0000000000000001E-5</v>
      </c>
      <c r="C17">
        <v>75.450370000000007</v>
      </c>
      <c r="D17">
        <v>0.10470069999999999</v>
      </c>
      <c r="E17">
        <f t="shared" si="0"/>
        <v>57.067680026016738</v>
      </c>
      <c r="F17">
        <v>61.194870000000002</v>
      </c>
      <c r="G17">
        <v>65.619129999999998</v>
      </c>
      <c r="H17">
        <v>70.363249999999994</v>
      </c>
      <c r="I17">
        <v>75.450370000000007</v>
      </c>
      <c r="J17">
        <v>80.905270000000002</v>
      </c>
      <c r="K17">
        <v>86.754559999999998</v>
      </c>
      <c r="L17">
        <v>93.026730000000001</v>
      </c>
      <c r="M17">
        <f t="shared" si="1"/>
        <v>99.754430034343471</v>
      </c>
    </row>
    <row r="18" spans="1:13" x14ac:dyDescent="0.2">
      <c r="A18">
        <v>7</v>
      </c>
      <c r="B18">
        <v>1.0000000000000001E-5</v>
      </c>
      <c r="C18">
        <v>75.775099999999995</v>
      </c>
      <c r="D18">
        <v>0.10470069999999999</v>
      </c>
      <c r="E18">
        <f t="shared" si="0"/>
        <v>57.313292973108283</v>
      </c>
      <c r="F18">
        <v>61.458240000000004</v>
      </c>
      <c r="G18">
        <v>65.901539999999997</v>
      </c>
      <c r="H18">
        <v>70.666089999999997</v>
      </c>
      <c r="I18">
        <v>75.775099999999995</v>
      </c>
      <c r="J18">
        <v>81.253489999999999</v>
      </c>
      <c r="K18">
        <v>87.127939999999995</v>
      </c>
      <c r="L18">
        <v>93.427109999999999</v>
      </c>
      <c r="M18">
        <f t="shared" si="1"/>
        <v>100.18376200534708</v>
      </c>
    </row>
    <row r="19" spans="1:13" x14ac:dyDescent="0.2">
      <c r="A19">
        <v>7.5</v>
      </c>
      <c r="B19">
        <v>1.0000000000000001E-5</v>
      </c>
      <c r="C19">
        <v>76.100139999999996</v>
      </c>
      <c r="D19">
        <v>0.10470069999999999</v>
      </c>
      <c r="E19">
        <f t="shared" si="0"/>
        <v>57.559140391956682</v>
      </c>
      <c r="F19">
        <v>61.721870000000003</v>
      </c>
      <c r="G19">
        <v>66.184229999999999</v>
      </c>
      <c r="H19">
        <v>70.969220000000007</v>
      </c>
      <c r="I19">
        <v>76.100139999999996</v>
      </c>
      <c r="J19">
        <v>81.602029999999999</v>
      </c>
      <c r="K19">
        <v>87.501689999999996</v>
      </c>
      <c r="L19">
        <v>93.827870000000004</v>
      </c>
      <c r="M19">
        <f t="shared" si="1"/>
        <v>100.61350383349668</v>
      </c>
    </row>
    <row r="20" spans="1:13" x14ac:dyDescent="0.2">
      <c r="A20">
        <v>8</v>
      </c>
      <c r="B20">
        <v>1.0000000000000001E-5</v>
      </c>
      <c r="C20">
        <v>76.42501</v>
      </c>
      <c r="D20">
        <v>0.10470069999999999</v>
      </c>
      <c r="E20">
        <f t="shared" si="0"/>
        <v>57.804859229519074</v>
      </c>
      <c r="F20">
        <v>61.98536</v>
      </c>
      <c r="G20">
        <v>66.466769999999997</v>
      </c>
      <c r="H20">
        <v>71.272180000000006</v>
      </c>
      <c r="I20">
        <v>76.42501</v>
      </c>
      <c r="J20">
        <v>81.950379999999996</v>
      </c>
      <c r="K20">
        <v>87.875219999999999</v>
      </c>
      <c r="L20">
        <v>94.22842</v>
      </c>
      <c r="M20">
        <f t="shared" si="1"/>
        <v>101.0430209012759</v>
      </c>
    </row>
    <row r="21" spans="1:13" x14ac:dyDescent="0.2">
      <c r="A21">
        <v>8.5</v>
      </c>
      <c r="B21">
        <v>1.0000000000000001E-5</v>
      </c>
      <c r="C21">
        <v>76.749089999999995</v>
      </c>
      <c r="D21">
        <v>0.10470069999999999</v>
      </c>
      <c r="E21">
        <f t="shared" si="0"/>
        <v>58.049980542281766</v>
      </c>
      <c r="F21">
        <v>62.24821</v>
      </c>
      <c r="G21">
        <v>66.748630000000006</v>
      </c>
      <c r="H21">
        <v>71.57441</v>
      </c>
      <c r="I21">
        <v>76.749089999999995</v>
      </c>
      <c r="J21">
        <v>82.297889999999995</v>
      </c>
      <c r="K21">
        <v>88.247860000000003</v>
      </c>
      <c r="L21">
        <v>94.628</v>
      </c>
      <c r="M21">
        <f t="shared" si="1"/>
        <v>101.4714934943928</v>
      </c>
    </row>
    <row r="22" spans="1:13" x14ac:dyDescent="0.2">
      <c r="A22">
        <v>9</v>
      </c>
      <c r="B22">
        <v>1.0000000000000001E-5</v>
      </c>
      <c r="C22">
        <v>77.071719999999999</v>
      </c>
      <c r="D22">
        <v>0.10470069999999999</v>
      </c>
      <c r="E22">
        <f t="shared" si="0"/>
        <v>58.294005132310872</v>
      </c>
      <c r="F22">
        <v>62.509880000000003</v>
      </c>
      <c r="G22">
        <v>67.029210000000006</v>
      </c>
      <c r="H22">
        <v>71.875280000000004</v>
      </c>
      <c r="I22">
        <v>77.071719999999999</v>
      </c>
      <c r="J22">
        <v>82.643839999999997</v>
      </c>
      <c r="K22">
        <v>88.618819999999999</v>
      </c>
      <c r="L22">
        <v>95.025779999999997</v>
      </c>
      <c r="M22">
        <f t="shared" si="1"/>
        <v>101.89804901376243</v>
      </c>
    </row>
    <row r="23" spans="1:13" x14ac:dyDescent="0.2">
      <c r="A23">
        <v>9.5</v>
      </c>
      <c r="B23">
        <v>1.0000000000000001E-5</v>
      </c>
      <c r="C23">
        <v>77.392009999999999</v>
      </c>
      <c r="D23">
        <v>0.10470069999999999</v>
      </c>
      <c r="E23">
        <f t="shared" si="0"/>
        <v>58.536259838756088</v>
      </c>
      <c r="F23">
        <v>62.769660000000002</v>
      </c>
      <c r="G23">
        <v>67.307770000000005</v>
      </c>
      <c r="H23">
        <v>72.17398</v>
      </c>
      <c r="I23">
        <v>77.392009999999999</v>
      </c>
      <c r="J23">
        <v>82.987300000000005</v>
      </c>
      <c r="K23">
        <v>88.987110000000001</v>
      </c>
      <c r="L23">
        <v>95.420680000000004</v>
      </c>
      <c r="M23">
        <f t="shared" si="1"/>
        <v>102.32151077273988</v>
      </c>
    </row>
    <row r="24" spans="1:13" x14ac:dyDescent="0.2">
      <c r="A24">
        <v>10</v>
      </c>
      <c r="B24">
        <v>1.0000000000000001E-5</v>
      </c>
      <c r="C24">
        <v>77.709720000000004</v>
      </c>
      <c r="D24">
        <v>0.10470069999999999</v>
      </c>
      <c r="E24">
        <f t="shared" si="0"/>
        <v>58.776563135095998</v>
      </c>
      <c r="F24">
        <v>63.027329999999999</v>
      </c>
      <c r="G24">
        <v>67.58408</v>
      </c>
      <c r="H24">
        <v>72.470269999999999</v>
      </c>
      <c r="I24">
        <v>77.709720000000004</v>
      </c>
      <c r="J24">
        <v>83.327960000000004</v>
      </c>
      <c r="K24">
        <v>89.352410000000006</v>
      </c>
      <c r="L24">
        <v>95.812399999999997</v>
      </c>
      <c r="M24">
        <f t="shared" si="1"/>
        <v>102.74156146256701</v>
      </c>
    </row>
    <row r="25" spans="1:13" x14ac:dyDescent="0.2">
      <c r="A25">
        <v>10.5</v>
      </c>
      <c r="B25">
        <v>1.0000000000000001E-5</v>
      </c>
      <c r="C25">
        <v>78.025400000000005</v>
      </c>
      <c r="D25">
        <v>0.10470069999999999</v>
      </c>
      <c r="E25">
        <f t="shared" si="0"/>
        <v>59.015331019608865</v>
      </c>
      <c r="F25">
        <v>63.283369999999998</v>
      </c>
      <c r="G25">
        <v>67.858630000000005</v>
      </c>
      <c r="H25">
        <v>72.764660000000006</v>
      </c>
      <c r="I25">
        <v>78.025400000000005</v>
      </c>
      <c r="J25">
        <v>83.666470000000004</v>
      </c>
      <c r="K25">
        <v>89.715389999999999</v>
      </c>
      <c r="L25">
        <v>96.201620000000005</v>
      </c>
      <c r="M25">
        <f t="shared" si="1"/>
        <v>103.15892824914793</v>
      </c>
    </row>
    <row r="26" spans="1:13" x14ac:dyDescent="0.2">
      <c r="A26">
        <v>11</v>
      </c>
      <c r="B26">
        <v>1.0000000000000001E-5</v>
      </c>
      <c r="C26">
        <v>78.340389999999999</v>
      </c>
      <c r="D26">
        <v>0.10470069999999999</v>
      </c>
      <c r="E26">
        <f t="shared" si="0"/>
        <v>59.253577015372635</v>
      </c>
      <c r="F26">
        <v>63.538849999999996</v>
      </c>
      <c r="G26">
        <v>68.132580000000004</v>
      </c>
      <c r="H26">
        <v>73.058419999999998</v>
      </c>
      <c r="I26">
        <v>78.340389999999999</v>
      </c>
      <c r="J26">
        <v>84.004239999999996</v>
      </c>
      <c r="K26">
        <v>90.077579999999998</v>
      </c>
      <c r="L26">
        <v>96.59</v>
      </c>
      <c r="M26">
        <f t="shared" si="1"/>
        <v>103.5753827730491</v>
      </c>
    </row>
    <row r="27" spans="1:13" x14ac:dyDescent="0.2">
      <c r="A27">
        <v>11.5</v>
      </c>
      <c r="B27">
        <v>1.0000000000000001E-5</v>
      </c>
      <c r="C27">
        <v>78.655630000000002</v>
      </c>
      <c r="D27">
        <v>0.10470069999999999</v>
      </c>
      <c r="E27">
        <f t="shared" si="0"/>
        <v>59.492012101262887</v>
      </c>
      <c r="F27">
        <v>63.794530000000002</v>
      </c>
      <c r="G27">
        <v>68.406739999999999</v>
      </c>
      <c r="H27">
        <v>73.352400000000003</v>
      </c>
      <c r="I27">
        <v>78.655630000000002</v>
      </c>
      <c r="J27">
        <v>84.342269999999999</v>
      </c>
      <c r="K27">
        <v>90.440039999999996</v>
      </c>
      <c r="L27">
        <v>96.978669999999994</v>
      </c>
      <c r="M27">
        <f t="shared" si="1"/>
        <v>103.99216782690671</v>
      </c>
    </row>
    <row r="28" spans="1:13" x14ac:dyDescent="0.2">
      <c r="A28">
        <v>12</v>
      </c>
      <c r="B28">
        <v>1.0000000000000001E-5</v>
      </c>
      <c r="C28">
        <v>78.972269999999995</v>
      </c>
      <c r="D28">
        <v>0.10470069999999999</v>
      </c>
      <c r="E28">
        <f t="shared" si="0"/>
        <v>59.731506091861448</v>
      </c>
      <c r="F28">
        <v>64.051339999999996</v>
      </c>
      <c r="G28">
        <v>68.682109999999994</v>
      </c>
      <c r="H28">
        <v>73.647689999999997</v>
      </c>
      <c r="I28">
        <v>78.972269999999995</v>
      </c>
      <c r="J28">
        <v>84.681799999999996</v>
      </c>
      <c r="K28">
        <v>90.804119999999998</v>
      </c>
      <c r="L28">
        <v>97.369060000000005</v>
      </c>
      <c r="M28">
        <f t="shared" si="1"/>
        <v>104.4108038485203</v>
      </c>
    </row>
    <row r="29" spans="1:13" x14ac:dyDescent="0.2">
      <c r="A29">
        <v>12.5</v>
      </c>
      <c r="B29">
        <v>1.0000000000000001E-5</v>
      </c>
      <c r="C29">
        <v>79.291560000000004</v>
      </c>
      <c r="D29">
        <v>0.10470069999999999</v>
      </c>
      <c r="E29">
        <f t="shared" si="0"/>
        <v>59.973004437800732</v>
      </c>
      <c r="F29">
        <v>64.310310000000001</v>
      </c>
      <c r="G29">
        <v>68.959810000000004</v>
      </c>
      <c r="H29">
        <v>73.94547</v>
      </c>
      <c r="I29">
        <v>79.291560000000004</v>
      </c>
      <c r="J29">
        <v>85.024180000000001</v>
      </c>
      <c r="K29">
        <v>91.171250000000001</v>
      </c>
      <c r="L29">
        <v>97.762739999999994</v>
      </c>
      <c r="M29">
        <f t="shared" si="1"/>
        <v>104.83294348767207</v>
      </c>
    </row>
    <row r="30" spans="1:13" x14ac:dyDescent="0.2">
      <c r="A30">
        <v>13</v>
      </c>
      <c r="B30">
        <v>1.0000000000000001E-5</v>
      </c>
      <c r="C30">
        <v>79.614459999999994</v>
      </c>
      <c r="D30">
        <v>0.10470069999999999</v>
      </c>
      <c r="E30">
        <f t="shared" si="0"/>
        <v>60.217233245166426</v>
      </c>
      <c r="F30">
        <v>64.572199999999995</v>
      </c>
      <c r="G30">
        <v>69.240629999999996</v>
      </c>
      <c r="H30">
        <v>74.246589999999998</v>
      </c>
      <c r="I30">
        <v>79.614459999999994</v>
      </c>
      <c r="J30">
        <v>85.370419999999996</v>
      </c>
      <c r="K30">
        <v>91.542529999999999</v>
      </c>
      <c r="L30">
        <v>98.160870000000003</v>
      </c>
      <c r="M30">
        <f t="shared" si="1"/>
        <v>105.25985597939462</v>
      </c>
    </row>
    <row r="31" spans="1:13" x14ac:dyDescent="0.2">
      <c r="A31">
        <v>13.5</v>
      </c>
      <c r="B31">
        <v>1.0000000000000001E-5</v>
      </c>
      <c r="C31">
        <v>79.941730000000007</v>
      </c>
      <c r="D31">
        <v>0.10470069999999999</v>
      </c>
      <c r="E31">
        <f t="shared" si="0"/>
        <v>60.464767347943059</v>
      </c>
      <c r="F31">
        <v>64.837639999999993</v>
      </c>
      <c r="G31">
        <v>69.525260000000003</v>
      </c>
      <c r="H31">
        <v>74.5518</v>
      </c>
      <c r="I31">
        <v>79.941730000000007</v>
      </c>
      <c r="J31">
        <v>85.721360000000004</v>
      </c>
      <c r="K31">
        <v>91.91883</v>
      </c>
      <c r="L31">
        <v>98.564369999999997</v>
      </c>
      <c r="M31">
        <f t="shared" si="1"/>
        <v>105.69254613475556</v>
      </c>
    </row>
    <row r="32" spans="1:13" x14ac:dyDescent="0.2">
      <c r="A32">
        <v>14</v>
      </c>
      <c r="B32">
        <v>1.0000000000000001E-5</v>
      </c>
      <c r="C32">
        <v>80.274000000000001</v>
      </c>
      <c r="D32">
        <v>0.10470069999999999</v>
      </c>
      <c r="E32">
        <f t="shared" si="0"/>
        <v>60.716083253249352</v>
      </c>
      <c r="F32">
        <v>65.107119999999995</v>
      </c>
      <c r="G32">
        <v>69.814229999999995</v>
      </c>
      <c r="H32">
        <v>74.861660000000001</v>
      </c>
      <c r="I32">
        <v>80.274000000000001</v>
      </c>
      <c r="J32">
        <v>86.077640000000002</v>
      </c>
      <c r="K32">
        <v>92.300880000000006</v>
      </c>
      <c r="L32">
        <v>98.974040000000002</v>
      </c>
      <c r="M32">
        <f t="shared" si="1"/>
        <v>106.13184688924504</v>
      </c>
    </row>
    <row r="33" spans="1:13" x14ac:dyDescent="0.2">
      <c r="A33">
        <v>14.5</v>
      </c>
      <c r="B33">
        <v>1.0000000000000001E-5</v>
      </c>
      <c r="C33">
        <v>80.611469999999997</v>
      </c>
      <c r="D33">
        <v>0.10470069999999999</v>
      </c>
      <c r="E33">
        <f t="shared" si="0"/>
        <v>60.971332233186487</v>
      </c>
      <c r="F33">
        <v>65.380840000000006</v>
      </c>
      <c r="G33">
        <v>70.107730000000004</v>
      </c>
      <c r="H33">
        <v>75.176379999999995</v>
      </c>
      <c r="I33">
        <v>80.611469999999997</v>
      </c>
      <c r="J33">
        <v>86.439509999999999</v>
      </c>
      <c r="K33">
        <v>92.688910000000007</v>
      </c>
      <c r="L33">
        <v>99.390129999999999</v>
      </c>
      <c r="M33">
        <f t="shared" si="1"/>
        <v>106.57802266682823</v>
      </c>
    </row>
    <row r="34" spans="1:13" x14ac:dyDescent="0.2">
      <c r="A34">
        <v>15</v>
      </c>
      <c r="B34">
        <v>1.0000000000000001E-5</v>
      </c>
      <c r="C34">
        <v>80.953860000000006</v>
      </c>
      <c r="D34">
        <v>0.10470069999999999</v>
      </c>
      <c r="E34">
        <f t="shared" si="0"/>
        <v>61.230302506812826</v>
      </c>
      <c r="F34">
        <v>65.658529999999999</v>
      </c>
      <c r="G34">
        <v>70.405500000000004</v>
      </c>
      <c r="H34">
        <v>75.495670000000004</v>
      </c>
      <c r="I34">
        <v>80.953860000000006</v>
      </c>
      <c r="J34">
        <v>86.806659999999994</v>
      </c>
      <c r="K34">
        <v>93.082599999999999</v>
      </c>
      <c r="L34">
        <v>99.812269999999998</v>
      </c>
      <c r="M34">
        <f t="shared" si="1"/>
        <v>107.03070327395395</v>
      </c>
    </row>
    <row r="35" spans="1:13" x14ac:dyDescent="0.2">
      <c r="A35">
        <v>15.5</v>
      </c>
      <c r="B35">
        <v>1.0000000000000001E-5</v>
      </c>
      <c r="C35">
        <v>81.300190000000001</v>
      </c>
      <c r="D35">
        <v>0.10470069999999999</v>
      </c>
      <c r="E35">
        <f t="shared" si="0"/>
        <v>61.492252840832528</v>
      </c>
      <c r="F35">
        <v>65.939419999999998</v>
      </c>
      <c r="G35">
        <v>70.706699999999998</v>
      </c>
      <c r="H35">
        <v>75.818659999999994</v>
      </c>
      <c r="I35">
        <v>81.300190000000001</v>
      </c>
      <c r="J35">
        <v>87.178020000000004</v>
      </c>
      <c r="K35">
        <v>93.480810000000005</v>
      </c>
      <c r="L35">
        <v>100.2393</v>
      </c>
      <c r="M35">
        <f t="shared" si="1"/>
        <v>107.48859303319296</v>
      </c>
    </row>
    <row r="36" spans="1:13" x14ac:dyDescent="0.2">
      <c r="A36">
        <v>16</v>
      </c>
      <c r="B36">
        <v>1.0000000000000001E-5</v>
      </c>
      <c r="C36">
        <v>81.648049999999998</v>
      </c>
      <c r="D36">
        <v>0.10470069999999999</v>
      </c>
      <c r="E36">
        <f t="shared" si="0"/>
        <v>61.755360406426306</v>
      </c>
      <c r="F36">
        <v>66.221559999999997</v>
      </c>
      <c r="G36">
        <v>71.009240000000005</v>
      </c>
      <c r="H36">
        <v>76.143069999999994</v>
      </c>
      <c r="I36">
        <v>81.648049999999998</v>
      </c>
      <c r="J36">
        <v>87.551029999999997</v>
      </c>
      <c r="K36">
        <v>93.880790000000005</v>
      </c>
      <c r="L36">
        <v>100.6682</v>
      </c>
      <c r="M36">
        <f t="shared" si="1"/>
        <v>107.9485056357653</v>
      </c>
    </row>
    <row r="37" spans="1:13" x14ac:dyDescent="0.2">
      <c r="A37">
        <v>16.5</v>
      </c>
      <c r="B37">
        <v>1.0000000000000001E-5</v>
      </c>
      <c r="C37">
        <v>81.994709999999998</v>
      </c>
      <c r="D37">
        <v>0.10470069999999999</v>
      </c>
      <c r="E37">
        <f t="shared" si="0"/>
        <v>62.017560339412967</v>
      </c>
      <c r="F37">
        <v>66.502719999999997</v>
      </c>
      <c r="G37">
        <v>71.310730000000007</v>
      </c>
      <c r="H37">
        <v>76.466350000000006</v>
      </c>
      <c r="I37">
        <v>81.994709999999998</v>
      </c>
      <c r="J37">
        <v>87.922749999999994</v>
      </c>
      <c r="K37">
        <v>94.279390000000006</v>
      </c>
      <c r="L37">
        <v>101.0956</v>
      </c>
      <c r="M37">
        <f t="shared" si="1"/>
        <v>108.4068316945468</v>
      </c>
    </row>
    <row r="38" spans="1:13" x14ac:dyDescent="0.2">
      <c r="A38">
        <v>17</v>
      </c>
      <c r="B38">
        <v>1.0000000000000001E-5</v>
      </c>
      <c r="C38">
        <v>82.338130000000007</v>
      </c>
      <c r="D38">
        <v>0.10470069999999999</v>
      </c>
      <c r="E38">
        <f t="shared" si="0"/>
        <v>62.277309664360416</v>
      </c>
      <c r="F38">
        <v>66.781270000000006</v>
      </c>
      <c r="G38">
        <v>71.609409999999997</v>
      </c>
      <c r="H38">
        <v>76.786619999999999</v>
      </c>
      <c r="I38">
        <v>82.338130000000007</v>
      </c>
      <c r="J38">
        <v>88.29101</v>
      </c>
      <c r="K38">
        <v>94.674270000000007</v>
      </c>
      <c r="L38">
        <v>101.51900000000001</v>
      </c>
      <c r="M38">
        <f t="shared" si="1"/>
        <v>108.86087408509299</v>
      </c>
    </row>
    <row r="39" spans="1:13" x14ac:dyDescent="0.2">
      <c r="A39">
        <v>17.5</v>
      </c>
      <c r="B39">
        <v>1.0000000000000001E-5</v>
      </c>
      <c r="C39">
        <v>82.676789999999997</v>
      </c>
      <c r="D39">
        <v>0.10470069999999999</v>
      </c>
      <c r="E39">
        <f t="shared" si="0"/>
        <v>62.533458713299609</v>
      </c>
      <c r="F39">
        <v>67.055930000000004</v>
      </c>
      <c r="G39">
        <v>71.903940000000006</v>
      </c>
      <c r="H39">
        <v>77.102440000000001</v>
      </c>
      <c r="I39">
        <v>82.676789999999997</v>
      </c>
      <c r="J39">
        <v>88.654150000000001</v>
      </c>
      <c r="K39">
        <v>95.063659999999999</v>
      </c>
      <c r="L39">
        <v>101.9366</v>
      </c>
      <c r="M39">
        <f t="shared" si="1"/>
        <v>109.30862318526877</v>
      </c>
    </row>
    <row r="40" spans="1:13" x14ac:dyDescent="0.2">
      <c r="A40">
        <v>18</v>
      </c>
      <c r="B40">
        <v>1.0000000000000001E-5</v>
      </c>
      <c r="C40">
        <v>83.009789999999995</v>
      </c>
      <c r="D40">
        <v>0.10470069999999999</v>
      </c>
      <c r="E40">
        <f t="shared" si="0"/>
        <v>62.785326761775231</v>
      </c>
      <c r="F40">
        <v>67.326009999999997</v>
      </c>
      <c r="G40">
        <v>72.193539999999999</v>
      </c>
      <c r="H40">
        <v>77.412989999999994</v>
      </c>
      <c r="I40">
        <v>83.009789999999995</v>
      </c>
      <c r="J40">
        <v>89.011219999999994</v>
      </c>
      <c r="K40">
        <v>95.446550000000002</v>
      </c>
      <c r="L40">
        <v>102.3471</v>
      </c>
      <c r="M40">
        <f t="shared" si="1"/>
        <v>109.74888908723103</v>
      </c>
    </row>
    <row r="41" spans="1:13" x14ac:dyDescent="0.2">
      <c r="A41">
        <v>18.5</v>
      </c>
      <c r="B41">
        <v>1.0000000000000001E-5</v>
      </c>
      <c r="C41">
        <v>83.336849999999998</v>
      </c>
      <c r="D41">
        <v>0.10470069999999999</v>
      </c>
      <c r="E41">
        <f t="shared" si="0"/>
        <v>63.032702028845613</v>
      </c>
      <c r="F41">
        <v>67.591279999999998</v>
      </c>
      <c r="G41">
        <v>72.477990000000005</v>
      </c>
      <c r="H41">
        <v>77.71799</v>
      </c>
      <c r="I41">
        <v>83.336849999999998</v>
      </c>
      <c r="J41">
        <v>89.361919999999998</v>
      </c>
      <c r="K41">
        <v>95.822609999999997</v>
      </c>
      <c r="L41">
        <v>102.7504</v>
      </c>
      <c r="M41">
        <f t="shared" si="1"/>
        <v>110.18130159742857</v>
      </c>
    </row>
    <row r="42" spans="1:13" x14ac:dyDescent="0.2">
      <c r="A42">
        <v>19</v>
      </c>
      <c r="B42">
        <v>1.0000000000000001E-5</v>
      </c>
      <c r="C42">
        <v>83.657899999999998</v>
      </c>
      <c r="D42">
        <v>0.10470069999999999</v>
      </c>
      <c r="E42">
        <f t="shared" si="0"/>
        <v>63.275531569275337</v>
      </c>
      <c r="F42">
        <v>67.851669999999999</v>
      </c>
      <c r="G42">
        <v>72.757210000000001</v>
      </c>
      <c r="H42">
        <v>78.017399999999995</v>
      </c>
      <c r="I42">
        <v>83.657899999999998</v>
      </c>
      <c r="J42">
        <v>89.706190000000007</v>
      </c>
      <c r="K42">
        <v>96.191760000000002</v>
      </c>
      <c r="L42">
        <v>103.14619999999999</v>
      </c>
      <c r="M42">
        <f t="shared" si="1"/>
        <v>110.60576816747356</v>
      </c>
    </row>
    <row r="43" spans="1:13" x14ac:dyDescent="0.2">
      <c r="A43">
        <v>19.5</v>
      </c>
      <c r="B43">
        <v>1.0000000000000001E-5</v>
      </c>
      <c r="C43">
        <v>83.973249999999993</v>
      </c>
      <c r="D43">
        <v>0.10470069999999999</v>
      </c>
      <c r="E43">
        <f t="shared" si="0"/>
        <v>63.514049854821245</v>
      </c>
      <c r="F43">
        <v>68.107439999999997</v>
      </c>
      <c r="G43">
        <v>73.031469999999999</v>
      </c>
      <c r="H43">
        <v>78.311490000000006</v>
      </c>
      <c r="I43">
        <v>83.973249999999993</v>
      </c>
      <c r="J43">
        <v>90.044340000000005</v>
      </c>
      <c r="K43">
        <v>96.554360000000003</v>
      </c>
      <c r="L43">
        <v>103.535</v>
      </c>
      <c r="M43">
        <f t="shared" si="1"/>
        <v>111.022698654512</v>
      </c>
    </row>
    <row r="44" spans="1:13" x14ac:dyDescent="0.2">
      <c r="A44">
        <v>20</v>
      </c>
      <c r="B44">
        <v>1.0000000000000001E-5</v>
      </c>
      <c r="C44">
        <v>84.283469999999994</v>
      </c>
      <c r="D44">
        <v>0.10470069999999999</v>
      </c>
      <c r="E44">
        <f t="shared" si="0"/>
        <v>63.748688010971712</v>
      </c>
      <c r="F44">
        <v>68.359049999999996</v>
      </c>
      <c r="G44">
        <v>73.301270000000002</v>
      </c>
      <c r="H44">
        <v>78.600790000000003</v>
      </c>
      <c r="I44">
        <v>84.283469999999994</v>
      </c>
      <c r="J44">
        <v>90.376990000000006</v>
      </c>
      <c r="K44">
        <v>96.911060000000006</v>
      </c>
      <c r="L44">
        <v>103.9175</v>
      </c>
      <c r="M44">
        <f t="shared" si="1"/>
        <v>111.43284666684453</v>
      </c>
    </row>
    <row r="45" spans="1:13" x14ac:dyDescent="0.2">
      <c r="A45">
        <v>20.5</v>
      </c>
      <c r="B45">
        <v>1.0000000000000001E-5</v>
      </c>
      <c r="C45">
        <v>84.589380000000006</v>
      </c>
      <c r="D45">
        <v>0.10470069999999999</v>
      </c>
      <c r="E45">
        <f t="shared" si="0"/>
        <v>63.980066253341626</v>
      </c>
      <c r="F45">
        <v>68.607159999999993</v>
      </c>
      <c r="G45">
        <v>73.567310000000006</v>
      </c>
      <c r="H45">
        <v>78.886080000000007</v>
      </c>
      <c r="I45">
        <v>84.589380000000006</v>
      </c>
      <c r="J45">
        <v>90.705020000000005</v>
      </c>
      <c r="K45">
        <v>97.262799999999999</v>
      </c>
      <c r="L45">
        <v>104.29470000000001</v>
      </c>
      <c r="M45">
        <f t="shared" si="1"/>
        <v>111.83729634272825</v>
      </c>
    </row>
    <row r="46" spans="1:13" x14ac:dyDescent="0.2">
      <c r="A46">
        <v>21</v>
      </c>
      <c r="B46">
        <v>1.0000000000000001E-5</v>
      </c>
      <c r="C46">
        <v>84.891940000000005</v>
      </c>
      <c r="D46">
        <v>0.10470069999999999</v>
      </c>
      <c r="E46">
        <f t="shared" si="0"/>
        <v>64.208910688016658</v>
      </c>
      <c r="F46">
        <v>68.852549999999994</v>
      </c>
      <c r="G46">
        <v>73.830449999999999</v>
      </c>
      <c r="H46">
        <v>79.168239999999997</v>
      </c>
      <c r="I46">
        <v>84.891940000000005</v>
      </c>
      <c r="J46">
        <v>91.029449999999997</v>
      </c>
      <c r="K46">
        <v>97.610690000000005</v>
      </c>
      <c r="L46">
        <v>104.6677</v>
      </c>
      <c r="M46">
        <f t="shared" si="1"/>
        <v>112.23731691719583</v>
      </c>
    </row>
    <row r="47" spans="1:13" x14ac:dyDescent="0.2">
      <c r="A47">
        <v>21.5</v>
      </c>
      <c r="B47">
        <v>1.0000000000000001E-5</v>
      </c>
      <c r="C47">
        <v>85.192040000000006</v>
      </c>
      <c r="D47">
        <v>0.10470069999999999</v>
      </c>
      <c r="E47">
        <f t="shared" si="0"/>
        <v>64.435894475847093</v>
      </c>
      <c r="F47">
        <v>69.095950000000002</v>
      </c>
      <c r="G47">
        <v>74.091449999999995</v>
      </c>
      <c r="H47">
        <v>79.448099999999997</v>
      </c>
      <c r="I47">
        <v>85.192040000000006</v>
      </c>
      <c r="J47">
        <v>91.351249999999993</v>
      </c>
      <c r="K47">
        <v>97.955759999999998</v>
      </c>
      <c r="L47">
        <v>105.0378</v>
      </c>
      <c r="M47">
        <f t="shared" si="1"/>
        <v>112.63408507689215</v>
      </c>
    </row>
    <row r="48" spans="1:13" x14ac:dyDescent="0.2">
      <c r="A48">
        <v>22</v>
      </c>
      <c r="B48">
        <v>1.0000000000000001E-5</v>
      </c>
      <c r="C48">
        <v>85.490340000000003</v>
      </c>
      <c r="D48">
        <v>0.10470069999999999</v>
      </c>
      <c r="E48">
        <f t="shared" si="0"/>
        <v>64.661516814766841</v>
      </c>
      <c r="F48">
        <v>69.337900000000005</v>
      </c>
      <c r="G48">
        <v>74.350880000000004</v>
      </c>
      <c r="H48">
        <v>79.726299999999995</v>
      </c>
      <c r="I48">
        <v>85.490340000000003</v>
      </c>
      <c r="J48">
        <v>91.671109999999999</v>
      </c>
      <c r="K48">
        <v>98.298739999999995</v>
      </c>
      <c r="L48">
        <v>105.4055</v>
      </c>
      <c r="M48">
        <f t="shared" si="1"/>
        <v>113.02847342090217</v>
      </c>
    </row>
    <row r="49" spans="1:13" x14ac:dyDescent="0.2">
      <c r="A49">
        <v>22.5</v>
      </c>
      <c r="B49">
        <v>1.0000000000000001E-5</v>
      </c>
      <c r="C49">
        <v>85.787189999999995</v>
      </c>
      <c r="D49">
        <v>0.10470069999999999</v>
      </c>
      <c r="E49">
        <f t="shared" si="0"/>
        <v>64.886042430952983</v>
      </c>
      <c r="F49">
        <v>69.578659999999999</v>
      </c>
      <c r="G49">
        <v>74.609049999999996</v>
      </c>
      <c r="H49">
        <v>80.003140000000002</v>
      </c>
      <c r="I49">
        <v>85.787189999999995</v>
      </c>
      <c r="J49">
        <v>91.989429999999999</v>
      </c>
      <c r="K49">
        <v>98.640079999999998</v>
      </c>
      <c r="L49">
        <v>105.7715</v>
      </c>
      <c r="M49">
        <f t="shared" si="1"/>
        <v>113.42094469116492</v>
      </c>
    </row>
    <row r="50" spans="1:13" x14ac:dyDescent="0.2">
      <c r="A50">
        <v>23</v>
      </c>
      <c r="B50">
        <v>1.0000000000000001E-5</v>
      </c>
      <c r="C50">
        <v>86.082890000000006</v>
      </c>
      <c r="D50">
        <v>0.10470069999999999</v>
      </c>
      <c r="E50">
        <f t="shared" si="0"/>
        <v>65.109698232557321</v>
      </c>
      <c r="F50">
        <v>69.818479999999994</v>
      </c>
      <c r="G50">
        <v>74.866219999999998</v>
      </c>
      <c r="H50">
        <v>80.278880000000001</v>
      </c>
      <c r="I50">
        <v>86.082890000000006</v>
      </c>
      <c r="J50">
        <v>92.3065</v>
      </c>
      <c r="K50">
        <v>98.980069999999998</v>
      </c>
      <c r="L50">
        <v>106.1361</v>
      </c>
      <c r="M50">
        <f t="shared" si="1"/>
        <v>113.81189552362812</v>
      </c>
    </row>
    <row r="51" spans="1:13" x14ac:dyDescent="0.2">
      <c r="A51">
        <v>23.5</v>
      </c>
      <c r="B51">
        <v>1.0000000000000001E-5</v>
      </c>
      <c r="C51">
        <v>86.377970000000005</v>
      </c>
      <c r="D51">
        <v>0.10470069999999999</v>
      </c>
      <c r="E51">
        <f t="shared" si="0"/>
        <v>65.332885090647963</v>
      </c>
      <c r="F51">
        <v>70.057820000000007</v>
      </c>
      <c r="G51">
        <v>75.12285</v>
      </c>
      <c r="H51">
        <v>80.554079999999999</v>
      </c>
      <c r="I51">
        <v>86.377970000000005</v>
      </c>
      <c r="J51">
        <v>92.622919999999993</v>
      </c>
      <c r="K51">
        <v>99.319360000000003</v>
      </c>
      <c r="L51">
        <v>106.4999</v>
      </c>
      <c r="M51">
        <f t="shared" si="1"/>
        <v>114.20202664179936</v>
      </c>
    </row>
    <row r="52" spans="1:13" x14ac:dyDescent="0.2">
      <c r="A52">
        <v>24</v>
      </c>
      <c r="B52">
        <v>1.0000000000000001E-5</v>
      </c>
      <c r="C52">
        <v>86.672920000000005</v>
      </c>
      <c r="D52">
        <v>0.10470069999999999</v>
      </c>
      <c r="E52">
        <f t="shared" si="0"/>
        <v>65.555973621872852</v>
      </c>
      <c r="F52">
        <v>70.297039999999996</v>
      </c>
      <c r="G52">
        <v>75.379369999999994</v>
      </c>
      <c r="H52">
        <v>80.829139999999995</v>
      </c>
      <c r="I52">
        <v>86.672920000000005</v>
      </c>
      <c r="J52">
        <v>92.939189999999996</v>
      </c>
      <c r="K52">
        <v>99.658500000000004</v>
      </c>
      <c r="L52">
        <v>106.86360000000001</v>
      </c>
      <c r="M52">
        <f t="shared" si="1"/>
        <v>114.59198588439327</v>
      </c>
    </row>
  </sheetData>
  <phoneticPr fontId="1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689A-8139-494F-98D3-6B61B0EE3DAA}">
  <dimension ref="A1:M53"/>
  <sheetViews>
    <sheetView topLeftCell="A6" workbookViewId="0">
      <selection activeCell="E13" sqref="E13:M53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21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22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7</v>
      </c>
      <c r="D10">
        <v>2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</v>
      </c>
      <c r="B13">
        <v>1</v>
      </c>
      <c r="C13">
        <v>47.248420000000003</v>
      </c>
      <c r="D13">
        <v>0.1801999</v>
      </c>
      <c r="E13" s="3">
        <f>C13*(1+(B13*D13*-2.667))^(1/B13)</f>
        <v>24.541153788725616</v>
      </c>
      <c r="F13">
        <v>30.219249999999999</v>
      </c>
      <c r="G13">
        <v>35.895629999999997</v>
      </c>
      <c r="H13">
        <v>41.572029999999998</v>
      </c>
      <c r="I13">
        <v>47.248420000000003</v>
      </c>
      <c r="J13">
        <v>52.924810000000001</v>
      </c>
      <c r="K13">
        <v>58.601199999999999</v>
      </c>
      <c r="L13">
        <v>64.277590000000004</v>
      </c>
      <c r="M13" s="4">
        <f>C13*(1+(B13*D13*2.667))^(1/B13)</f>
        <v>69.955686211274383</v>
      </c>
    </row>
    <row r="14" spans="1:13" x14ac:dyDescent="0.2">
      <c r="A14">
        <v>4.5</v>
      </c>
      <c r="B14">
        <v>1</v>
      </c>
      <c r="C14">
        <v>47.711559999999999</v>
      </c>
      <c r="D14">
        <v>0.17930289999999999</v>
      </c>
      <c r="E14" s="3">
        <f t="shared" ref="E14:E53" si="0">C14*(1+(B14*D14*-2.667))^(1/B14)</f>
        <v>24.895852202245493</v>
      </c>
      <c r="F14">
        <v>30.60106</v>
      </c>
      <c r="G14">
        <v>36.304560000000002</v>
      </c>
      <c r="H14">
        <v>42.00806</v>
      </c>
      <c r="I14">
        <v>47.711559999999999</v>
      </c>
      <c r="J14">
        <v>53.41507</v>
      </c>
      <c r="K14">
        <v>59.118560000000002</v>
      </c>
      <c r="L14">
        <v>64.822069999999997</v>
      </c>
      <c r="M14" s="4">
        <f t="shared" ref="M14:M53" si="1">C14*(1+(B14*D14*2.667))^(1/B14)</f>
        <v>70.527267797754504</v>
      </c>
    </row>
    <row r="15" spans="1:13" x14ac:dyDescent="0.2">
      <c r="A15">
        <v>5</v>
      </c>
      <c r="B15">
        <v>1</v>
      </c>
      <c r="C15">
        <v>48.1678</v>
      </c>
      <c r="D15">
        <v>0.17840600000000001</v>
      </c>
      <c r="E15" s="3">
        <f t="shared" si="0"/>
        <v>25.249136787024401</v>
      </c>
      <c r="F15">
        <v>30.9801</v>
      </c>
      <c r="G15">
        <v>36.709330000000001</v>
      </c>
      <c r="H15">
        <v>42.438569999999999</v>
      </c>
      <c r="I15">
        <v>48.1678</v>
      </c>
      <c r="J15">
        <v>53.897039999999997</v>
      </c>
      <c r="K15">
        <v>59.626280000000001</v>
      </c>
      <c r="L15">
        <v>65.355509999999995</v>
      </c>
      <c r="M15" s="4">
        <f t="shared" si="1"/>
        <v>71.086463212975602</v>
      </c>
    </row>
    <row r="16" spans="1:13" x14ac:dyDescent="0.2">
      <c r="A16">
        <v>5.5</v>
      </c>
      <c r="B16">
        <v>1</v>
      </c>
      <c r="C16">
        <v>48.609969999999997</v>
      </c>
      <c r="D16">
        <v>0.177509</v>
      </c>
      <c r="E16" s="3">
        <f t="shared" si="0"/>
        <v>25.597207991665091</v>
      </c>
      <c r="F16">
        <v>31.351690000000001</v>
      </c>
      <c r="G16">
        <v>37.10445</v>
      </c>
      <c r="H16">
        <v>42.857210000000002</v>
      </c>
      <c r="I16">
        <v>48.609969999999997</v>
      </c>
      <c r="J16">
        <v>54.362729999999999</v>
      </c>
      <c r="K16">
        <v>60.115490000000001</v>
      </c>
      <c r="L16">
        <v>65.868250000000003</v>
      </c>
      <c r="M16" s="4">
        <f t="shared" si="1"/>
        <v>71.622732008334907</v>
      </c>
    </row>
    <row r="17" spans="1:13" x14ac:dyDescent="0.2">
      <c r="A17">
        <v>6</v>
      </c>
      <c r="B17">
        <v>1</v>
      </c>
      <c r="C17">
        <v>49.037469999999999</v>
      </c>
      <c r="D17">
        <v>0.17661209999999999</v>
      </c>
      <c r="E17" s="3">
        <f t="shared" si="0"/>
        <v>25.939621648782872</v>
      </c>
      <c r="F17">
        <v>31.715389999999999</v>
      </c>
      <c r="G17">
        <v>37.489409999999999</v>
      </c>
      <c r="H17">
        <v>43.263440000000003</v>
      </c>
      <c r="I17">
        <v>49.037469999999999</v>
      </c>
      <c r="J17">
        <v>54.811500000000002</v>
      </c>
      <c r="K17">
        <v>60.585529999999999</v>
      </c>
      <c r="L17">
        <v>66.359560000000002</v>
      </c>
      <c r="M17" s="4">
        <f t="shared" si="1"/>
        <v>72.135318351217123</v>
      </c>
    </row>
    <row r="18" spans="1:13" x14ac:dyDescent="0.2">
      <c r="A18">
        <v>6.5</v>
      </c>
      <c r="B18">
        <v>1</v>
      </c>
      <c r="C18">
        <v>49.438040000000001</v>
      </c>
      <c r="D18">
        <v>0.17571510000000001</v>
      </c>
      <c r="E18" s="3">
        <f t="shared" si="0"/>
        <v>26.269783950208534</v>
      </c>
      <c r="F18">
        <v>32.06315</v>
      </c>
      <c r="G18">
        <v>37.854779999999998</v>
      </c>
      <c r="H18">
        <v>43.646410000000003</v>
      </c>
      <c r="I18">
        <v>49.438040000000001</v>
      </c>
      <c r="J18">
        <v>55.229669999999999</v>
      </c>
      <c r="K18">
        <v>61.02131</v>
      </c>
      <c r="L18">
        <v>66.812929999999994</v>
      </c>
      <c r="M18" s="4">
        <f t="shared" si="1"/>
        <v>72.606296049791467</v>
      </c>
    </row>
    <row r="19" spans="1:13" x14ac:dyDescent="0.2">
      <c r="A19">
        <v>7</v>
      </c>
      <c r="B19">
        <v>1</v>
      </c>
      <c r="C19">
        <v>49.79477</v>
      </c>
      <c r="D19">
        <v>0.17481820000000001</v>
      </c>
      <c r="E19" s="3">
        <f t="shared" si="0"/>
        <v>26.578449493809064</v>
      </c>
      <c r="F19">
        <v>32.383839999999999</v>
      </c>
      <c r="G19">
        <v>38.187480000000001</v>
      </c>
      <c r="H19">
        <v>43.991129999999998</v>
      </c>
      <c r="I19">
        <v>49.79477</v>
      </c>
      <c r="J19">
        <v>55.598419999999997</v>
      </c>
      <c r="K19">
        <v>61.402059999999999</v>
      </c>
      <c r="L19">
        <v>67.205699999999993</v>
      </c>
      <c r="M19" s="4">
        <f t="shared" si="1"/>
        <v>73.011090506190939</v>
      </c>
    </row>
    <row r="20" spans="1:13" x14ac:dyDescent="0.2">
      <c r="A20">
        <v>7.5</v>
      </c>
      <c r="B20">
        <v>1</v>
      </c>
      <c r="C20">
        <v>50.114220000000003</v>
      </c>
      <c r="D20">
        <v>0.1739212</v>
      </c>
      <c r="E20" s="3">
        <f t="shared" si="0"/>
        <v>26.868847279669517</v>
      </c>
      <c r="F20">
        <v>32.6815</v>
      </c>
      <c r="G20">
        <v>38.492400000000004</v>
      </c>
      <c r="H20">
        <v>44.303310000000003</v>
      </c>
      <c r="I20">
        <v>50.114220000000003</v>
      </c>
      <c r="J20">
        <v>55.925130000000003</v>
      </c>
      <c r="K20">
        <v>61.73603</v>
      </c>
      <c r="L20">
        <v>67.546940000000006</v>
      </c>
      <c r="M20" s="4">
        <f t="shared" si="1"/>
        <v>73.359592720330483</v>
      </c>
    </row>
    <row r="21" spans="1:13" x14ac:dyDescent="0.2">
      <c r="A21">
        <v>8</v>
      </c>
      <c r="B21">
        <v>1</v>
      </c>
      <c r="C21">
        <v>50.43244</v>
      </c>
      <c r="D21">
        <v>0.17302429999999999</v>
      </c>
      <c r="E21" s="3">
        <f t="shared" si="0"/>
        <v>27.160097645345235</v>
      </c>
      <c r="F21">
        <v>32.979500000000002</v>
      </c>
      <c r="G21">
        <v>38.797150000000002</v>
      </c>
      <c r="H21">
        <v>44.614789999999999</v>
      </c>
      <c r="I21">
        <v>50.43244</v>
      </c>
      <c r="J21">
        <v>56.25009</v>
      </c>
      <c r="K21">
        <v>62.067740000000001</v>
      </c>
      <c r="L21">
        <v>67.885379999999998</v>
      </c>
      <c r="M21" s="4">
        <f t="shared" si="1"/>
        <v>73.704782354654768</v>
      </c>
    </row>
    <row r="22" spans="1:13" x14ac:dyDescent="0.2">
      <c r="A22">
        <v>8.5</v>
      </c>
      <c r="B22">
        <v>1</v>
      </c>
      <c r="C22">
        <v>50.781329999999997</v>
      </c>
      <c r="D22">
        <v>0.17212730000000001</v>
      </c>
      <c r="E22" s="3">
        <f t="shared" si="0"/>
        <v>27.469474453434898</v>
      </c>
      <c r="F22">
        <v>33.298749999999998</v>
      </c>
      <c r="G22">
        <v>39.126280000000001</v>
      </c>
      <c r="H22">
        <v>44.953809999999997</v>
      </c>
      <c r="I22">
        <v>50.781329999999997</v>
      </c>
      <c r="J22">
        <v>56.60886</v>
      </c>
      <c r="K22">
        <v>62.436390000000003</v>
      </c>
      <c r="L22">
        <v>68.263919999999999</v>
      </c>
      <c r="M22" s="4">
        <f t="shared" si="1"/>
        <v>74.093185546565095</v>
      </c>
    </row>
    <row r="23" spans="1:13" x14ac:dyDescent="0.2">
      <c r="A23">
        <v>9</v>
      </c>
      <c r="B23">
        <v>1</v>
      </c>
      <c r="C23">
        <v>51.16245</v>
      </c>
      <c r="D23">
        <v>0.1712304</v>
      </c>
      <c r="E23" s="3">
        <f t="shared" si="0"/>
        <v>27.79801840179384</v>
      </c>
      <c r="F23">
        <v>33.640439999999998</v>
      </c>
      <c r="G23">
        <v>39.481110000000001</v>
      </c>
      <c r="H23">
        <v>45.321779999999997</v>
      </c>
      <c r="I23">
        <v>51.16245</v>
      </c>
      <c r="J23">
        <v>57.00311</v>
      </c>
      <c r="K23">
        <v>62.843780000000002</v>
      </c>
      <c r="L23">
        <v>68.684449999999998</v>
      </c>
      <c r="M23" s="4">
        <f t="shared" si="1"/>
        <v>74.52688159820616</v>
      </c>
    </row>
    <row r="24" spans="1:13" x14ac:dyDescent="0.2">
      <c r="A24">
        <v>9.5</v>
      </c>
      <c r="B24">
        <v>1</v>
      </c>
      <c r="C24">
        <v>51.578600000000002</v>
      </c>
      <c r="D24">
        <v>0.1703334</v>
      </c>
      <c r="E24" s="3">
        <f t="shared" si="0"/>
        <v>28.147515999924924</v>
      </c>
      <c r="F24">
        <v>34.006599999999999</v>
      </c>
      <c r="G24">
        <v>39.863930000000003</v>
      </c>
      <c r="H24">
        <v>45.721269999999997</v>
      </c>
      <c r="I24">
        <v>51.578600000000002</v>
      </c>
      <c r="J24">
        <v>57.435929999999999</v>
      </c>
      <c r="K24">
        <v>63.293259999999997</v>
      </c>
      <c r="L24">
        <v>69.150589999999994</v>
      </c>
      <c r="M24" s="4">
        <f t="shared" si="1"/>
        <v>75.009684000075083</v>
      </c>
    </row>
    <row r="25" spans="1:13" x14ac:dyDescent="0.2">
      <c r="A25">
        <v>10</v>
      </c>
      <c r="B25">
        <v>1</v>
      </c>
      <c r="C25">
        <v>52.049849999999999</v>
      </c>
      <c r="D25">
        <v>0.16943649999999999</v>
      </c>
      <c r="E25" s="3">
        <f t="shared" si="0"/>
        <v>28.529191859796825</v>
      </c>
      <c r="F25">
        <v>34.410690000000002</v>
      </c>
      <c r="G25">
        <v>40.290410000000001</v>
      </c>
      <c r="H25">
        <v>46.17013</v>
      </c>
      <c r="I25">
        <v>52.049849999999999</v>
      </c>
      <c r="J25">
        <v>57.929580000000001</v>
      </c>
      <c r="K25">
        <v>63.8093</v>
      </c>
      <c r="L25">
        <v>69.689019999999999</v>
      </c>
      <c r="M25" s="4">
        <f t="shared" si="1"/>
        <v>75.570508140203174</v>
      </c>
    </row>
    <row r="26" spans="1:13" x14ac:dyDescent="0.2">
      <c r="A26">
        <v>10.5</v>
      </c>
      <c r="B26">
        <v>1</v>
      </c>
      <c r="C26">
        <v>52.593290000000003</v>
      </c>
      <c r="D26">
        <v>0.16853950000000001</v>
      </c>
      <c r="E26" s="3">
        <f t="shared" si="0"/>
        <v>28.95287718452002</v>
      </c>
      <c r="F26">
        <v>34.864310000000003</v>
      </c>
      <c r="G26">
        <v>40.773969999999998</v>
      </c>
      <c r="H26">
        <v>46.683630000000001</v>
      </c>
      <c r="I26">
        <v>52.593290000000003</v>
      </c>
      <c r="J26">
        <v>58.502949999999998</v>
      </c>
      <c r="K26">
        <v>64.412610000000001</v>
      </c>
      <c r="L26">
        <v>70.322270000000003</v>
      </c>
      <c r="M26" s="4">
        <f t="shared" si="1"/>
        <v>76.233702815479987</v>
      </c>
    </row>
    <row r="27" spans="1:13" x14ac:dyDescent="0.2">
      <c r="A27">
        <v>11</v>
      </c>
      <c r="B27">
        <v>1</v>
      </c>
      <c r="C27">
        <v>53.25385</v>
      </c>
      <c r="D27">
        <v>0.1676425</v>
      </c>
      <c r="E27" s="3">
        <f t="shared" si="0"/>
        <v>29.443918000817131</v>
      </c>
      <c r="F27">
        <v>35.397739999999999</v>
      </c>
      <c r="G27">
        <v>41.349769999999999</v>
      </c>
      <c r="H27">
        <v>47.301810000000003</v>
      </c>
      <c r="I27">
        <v>53.25385</v>
      </c>
      <c r="J27">
        <v>59.205889999999997</v>
      </c>
      <c r="K27">
        <v>65.157929999999993</v>
      </c>
      <c r="L27">
        <v>71.109960000000001</v>
      </c>
      <c r="M27" s="4">
        <f t="shared" si="1"/>
        <v>77.063781999182865</v>
      </c>
    </row>
    <row r="28" spans="1:13" x14ac:dyDescent="0.2">
      <c r="A28">
        <v>11.5</v>
      </c>
      <c r="B28">
        <v>1</v>
      </c>
      <c r="C28">
        <v>54.078139999999998</v>
      </c>
      <c r="D28">
        <v>0.16674559999999999</v>
      </c>
      <c r="E28" s="3">
        <f t="shared" si="0"/>
        <v>30.029022499542275</v>
      </c>
      <c r="F28">
        <v>36.042659999999998</v>
      </c>
      <c r="G28">
        <v>42.054490000000001</v>
      </c>
      <c r="H28">
        <v>48.066310000000001</v>
      </c>
      <c r="I28">
        <v>54.078139999999998</v>
      </c>
      <c r="J28">
        <v>60.089970000000001</v>
      </c>
      <c r="K28">
        <v>66.101799999999997</v>
      </c>
      <c r="L28">
        <v>72.113630000000001</v>
      </c>
      <c r="M28" s="4">
        <f t="shared" si="1"/>
        <v>78.127257500457716</v>
      </c>
    </row>
    <row r="29" spans="1:13" x14ac:dyDescent="0.2">
      <c r="A29">
        <v>12</v>
      </c>
      <c r="B29">
        <v>1</v>
      </c>
      <c r="C29">
        <v>55.081470000000003</v>
      </c>
      <c r="D29">
        <v>0.16584860000000001</v>
      </c>
      <c r="E29" s="3">
        <f t="shared" si="0"/>
        <v>30.717932443926188</v>
      </c>
      <c r="F29">
        <v>36.810180000000003</v>
      </c>
      <c r="G29">
        <v>42.90061</v>
      </c>
      <c r="H29">
        <v>48.991039999999998</v>
      </c>
      <c r="I29">
        <v>55.081470000000003</v>
      </c>
      <c r="J29">
        <v>61.171900000000001</v>
      </c>
      <c r="K29">
        <v>67.262330000000006</v>
      </c>
      <c r="L29">
        <v>73.352760000000004</v>
      </c>
      <c r="M29" s="4">
        <f t="shared" si="1"/>
        <v>79.445007556073818</v>
      </c>
    </row>
    <row r="30" spans="1:13" x14ac:dyDescent="0.2">
      <c r="A30">
        <v>12.5</v>
      </c>
      <c r="B30">
        <v>1</v>
      </c>
      <c r="C30">
        <v>56.259740000000001</v>
      </c>
      <c r="D30">
        <v>0.16495170000000001</v>
      </c>
      <c r="E30" s="3">
        <f t="shared" si="0"/>
        <v>31.509607274593819</v>
      </c>
      <c r="F30">
        <v>37.698529999999998</v>
      </c>
      <c r="G30">
        <v>43.885599999999997</v>
      </c>
      <c r="H30">
        <v>50.072670000000002</v>
      </c>
      <c r="I30">
        <v>56.259740000000001</v>
      </c>
      <c r="J30">
        <v>62.446800000000003</v>
      </c>
      <c r="K30">
        <v>68.633870000000002</v>
      </c>
      <c r="L30">
        <v>74.820939999999993</v>
      </c>
      <c r="M30" s="4">
        <f t="shared" si="1"/>
        <v>81.009872725406183</v>
      </c>
    </row>
    <row r="31" spans="1:13" x14ac:dyDescent="0.2">
      <c r="A31">
        <v>13</v>
      </c>
      <c r="B31">
        <v>1</v>
      </c>
      <c r="C31">
        <v>57.580390000000001</v>
      </c>
      <c r="D31">
        <v>0.1640547</v>
      </c>
      <c r="E31" s="3">
        <f t="shared" si="0"/>
        <v>32.387018269242894</v>
      </c>
      <c r="F31">
        <v>38.686779999999999</v>
      </c>
      <c r="G31">
        <v>44.984650000000002</v>
      </c>
      <c r="H31">
        <v>51.282519999999998</v>
      </c>
      <c r="I31">
        <v>57.580390000000001</v>
      </c>
      <c r="J31">
        <v>63.878270000000001</v>
      </c>
      <c r="K31">
        <v>70.176140000000004</v>
      </c>
      <c r="L31">
        <v>76.474010000000007</v>
      </c>
      <c r="M31" s="4">
        <f t="shared" si="1"/>
        <v>82.773761730757101</v>
      </c>
    </row>
    <row r="32" spans="1:13" x14ac:dyDescent="0.2">
      <c r="A32">
        <v>13.5</v>
      </c>
      <c r="B32">
        <v>1</v>
      </c>
      <c r="C32">
        <v>58.974809999999998</v>
      </c>
      <c r="D32">
        <v>0.16315779999999999</v>
      </c>
      <c r="E32" s="3">
        <f t="shared" si="0"/>
        <v>33.312401919867</v>
      </c>
      <c r="F32">
        <v>39.72945</v>
      </c>
      <c r="G32">
        <v>46.144570000000002</v>
      </c>
      <c r="H32">
        <v>52.559690000000003</v>
      </c>
      <c r="I32">
        <v>58.974809999999998</v>
      </c>
      <c r="J32">
        <v>65.389930000000007</v>
      </c>
      <c r="K32">
        <v>71.805049999999994</v>
      </c>
      <c r="L32">
        <v>78.220169999999996</v>
      </c>
      <c r="M32" s="4">
        <f t="shared" si="1"/>
        <v>84.637218080132996</v>
      </c>
    </row>
    <row r="33" spans="1:13" x14ac:dyDescent="0.2">
      <c r="A33">
        <v>14</v>
      </c>
      <c r="B33">
        <v>1</v>
      </c>
      <c r="C33">
        <v>60.359909999999999</v>
      </c>
      <c r="D33">
        <v>0.16226080000000001</v>
      </c>
      <c r="E33" s="3">
        <f t="shared" si="0"/>
        <v>34.239185892163825</v>
      </c>
      <c r="F33">
        <v>40.77084</v>
      </c>
      <c r="G33">
        <v>47.300530000000002</v>
      </c>
      <c r="H33">
        <v>53.830219999999997</v>
      </c>
      <c r="I33">
        <v>60.359909999999999</v>
      </c>
      <c r="J33">
        <v>66.889600000000002</v>
      </c>
      <c r="K33">
        <v>73.419300000000007</v>
      </c>
      <c r="L33">
        <v>79.948989999999995</v>
      </c>
      <c r="M33" s="4">
        <f t="shared" si="1"/>
        <v>86.480634107836167</v>
      </c>
    </row>
    <row r="34" spans="1:13" x14ac:dyDescent="0.2">
      <c r="A34">
        <v>14.5</v>
      </c>
      <c r="B34">
        <v>1</v>
      </c>
      <c r="C34">
        <v>61.675460000000001</v>
      </c>
      <c r="D34">
        <v>0.1613639</v>
      </c>
      <c r="E34" s="3">
        <f t="shared" si="0"/>
        <v>35.132961909362706</v>
      </c>
      <c r="F34">
        <v>41.77008</v>
      </c>
      <c r="G34">
        <v>48.405200000000001</v>
      </c>
      <c r="H34">
        <v>55.040329999999997</v>
      </c>
      <c r="I34">
        <v>61.675460000000001</v>
      </c>
      <c r="J34">
        <v>68.310590000000005</v>
      </c>
      <c r="K34">
        <v>74.945710000000005</v>
      </c>
      <c r="L34">
        <v>81.580830000000006</v>
      </c>
      <c r="M34" s="4">
        <f t="shared" si="1"/>
        <v>88.217958090637296</v>
      </c>
    </row>
    <row r="35" spans="1:13" x14ac:dyDescent="0.2">
      <c r="A35">
        <v>15</v>
      </c>
      <c r="B35">
        <v>1</v>
      </c>
      <c r="C35">
        <v>62.89499</v>
      </c>
      <c r="D35">
        <v>0.1604669</v>
      </c>
      <c r="E35" s="3">
        <f t="shared" si="0"/>
        <v>35.978121623093728</v>
      </c>
      <c r="F35">
        <v>42.708849999999998</v>
      </c>
      <c r="G35">
        <v>49.437559999999998</v>
      </c>
      <c r="H35">
        <v>56.16628</v>
      </c>
      <c r="I35">
        <v>62.89499</v>
      </c>
      <c r="J35">
        <v>69.623699999999999</v>
      </c>
      <c r="K35">
        <v>76.352419999999995</v>
      </c>
      <c r="L35">
        <v>83.081130000000002</v>
      </c>
      <c r="M35" s="4">
        <f t="shared" si="1"/>
        <v>89.811858376906272</v>
      </c>
    </row>
    <row r="36" spans="1:13" x14ac:dyDescent="0.2">
      <c r="A36">
        <v>15.5</v>
      </c>
      <c r="B36">
        <v>1</v>
      </c>
      <c r="C36">
        <v>63.991070000000001</v>
      </c>
      <c r="D36">
        <v>0.15956999999999999</v>
      </c>
      <c r="E36" s="3">
        <f t="shared" si="0"/>
        <v>36.758186208586707</v>
      </c>
      <c r="F36">
        <v>43.567950000000003</v>
      </c>
      <c r="G36">
        <v>50.375660000000003</v>
      </c>
      <c r="H36">
        <v>57.18336</v>
      </c>
      <c r="I36">
        <v>63.991070000000001</v>
      </c>
      <c r="J36">
        <v>70.798779999999994</v>
      </c>
      <c r="K36">
        <v>77.606489999999994</v>
      </c>
      <c r="L36">
        <v>84.414199999999994</v>
      </c>
      <c r="M36" s="4">
        <f t="shared" si="1"/>
        <v>91.223953791413294</v>
      </c>
    </row>
    <row r="37" spans="1:13" x14ac:dyDescent="0.2">
      <c r="A37">
        <v>16</v>
      </c>
      <c r="B37">
        <v>1</v>
      </c>
      <c r="C37">
        <v>64.938770000000005</v>
      </c>
      <c r="D37">
        <v>0.15867300000000001</v>
      </c>
      <c r="E37" s="3">
        <f t="shared" si="0"/>
        <v>37.457923450955931</v>
      </c>
      <c r="F37">
        <v>44.329680000000003</v>
      </c>
      <c r="G37">
        <v>51.199379999999998</v>
      </c>
      <c r="H37">
        <v>58.069070000000004</v>
      </c>
      <c r="I37">
        <v>64.938770000000005</v>
      </c>
      <c r="J37">
        <v>71.808459999999997</v>
      </c>
      <c r="K37">
        <v>78.678160000000005</v>
      </c>
      <c r="L37">
        <v>85.547849999999997</v>
      </c>
      <c r="M37" s="4">
        <f t="shared" si="1"/>
        <v>92.419616549044065</v>
      </c>
    </row>
    <row r="38" spans="1:13" x14ac:dyDescent="0.2">
      <c r="A38">
        <v>16.5</v>
      </c>
      <c r="B38">
        <v>1</v>
      </c>
      <c r="C38">
        <v>65.710610000000003</v>
      </c>
      <c r="D38">
        <v>0.1577761</v>
      </c>
      <c r="E38" s="3">
        <f t="shared" si="0"/>
        <v>38.060317413619195</v>
      </c>
      <c r="F38">
        <v>44.974449999999997</v>
      </c>
      <c r="G38">
        <v>51.886510000000001</v>
      </c>
      <c r="H38">
        <v>58.798560000000002</v>
      </c>
      <c r="I38">
        <v>65.710610000000003</v>
      </c>
      <c r="J38">
        <v>72.622669999999999</v>
      </c>
      <c r="K38">
        <v>79.534710000000004</v>
      </c>
      <c r="L38">
        <v>86.446770000000001</v>
      </c>
      <c r="M38" s="4">
        <f t="shared" si="1"/>
        <v>93.360902586380803</v>
      </c>
    </row>
    <row r="39" spans="1:13" x14ac:dyDescent="0.2">
      <c r="A39">
        <v>17</v>
      </c>
      <c r="B39">
        <v>1</v>
      </c>
      <c r="C39">
        <v>66.285799999999995</v>
      </c>
      <c r="D39">
        <v>0.15687909999999999</v>
      </c>
      <c r="E39" s="3">
        <f t="shared" si="0"/>
        <v>38.552049323037743</v>
      </c>
      <c r="F39">
        <v>45.487050000000004</v>
      </c>
      <c r="G39">
        <v>52.419969999999999</v>
      </c>
      <c r="H39">
        <v>59.352890000000002</v>
      </c>
      <c r="I39">
        <v>66.285799999999995</v>
      </c>
      <c r="J39">
        <v>73.218720000000005</v>
      </c>
      <c r="K39">
        <v>80.15164</v>
      </c>
      <c r="L39">
        <v>87.084559999999996</v>
      </c>
      <c r="M39" s="4">
        <f t="shared" si="1"/>
        <v>94.01955067696224</v>
      </c>
    </row>
    <row r="40" spans="1:13" x14ac:dyDescent="0.2">
      <c r="A40">
        <v>17.5</v>
      </c>
      <c r="B40">
        <v>1</v>
      </c>
      <c r="C40">
        <v>66.672169999999994</v>
      </c>
      <c r="D40">
        <v>0.15598210000000001</v>
      </c>
      <c r="E40" s="3">
        <f t="shared" si="0"/>
        <v>38.936263209885276</v>
      </c>
      <c r="F40">
        <v>45.8718</v>
      </c>
      <c r="G40">
        <v>52.805259999999997</v>
      </c>
      <c r="H40">
        <v>59.738709999999998</v>
      </c>
      <c r="I40">
        <v>66.672169999999994</v>
      </c>
      <c r="J40">
        <v>73.605630000000005</v>
      </c>
      <c r="K40">
        <v>80.539090000000002</v>
      </c>
      <c r="L40">
        <v>87.472549999999998</v>
      </c>
      <c r="M40" s="4">
        <f t="shared" si="1"/>
        <v>94.40807679011472</v>
      </c>
    </row>
    <row r="41" spans="1:13" x14ac:dyDescent="0.2">
      <c r="A41">
        <v>18</v>
      </c>
      <c r="B41">
        <v>1</v>
      </c>
      <c r="C41">
        <v>66.89067</v>
      </c>
      <c r="D41">
        <v>0.15508520000000001</v>
      </c>
      <c r="E41" s="3">
        <f t="shared" si="0"/>
        <v>39.22387092213097</v>
      </c>
      <c r="F41">
        <v>46.142130000000002</v>
      </c>
      <c r="G41">
        <v>53.058309999999999</v>
      </c>
      <c r="H41">
        <v>59.974490000000003</v>
      </c>
      <c r="I41">
        <v>66.89067</v>
      </c>
      <c r="J41">
        <v>73.806849999999997</v>
      </c>
      <c r="K41">
        <v>80.723029999999994</v>
      </c>
      <c r="L41">
        <v>87.639210000000006</v>
      </c>
      <c r="M41" s="4">
        <f t="shared" si="1"/>
        <v>94.557469077869015</v>
      </c>
    </row>
    <row r="42" spans="1:13" x14ac:dyDescent="0.2">
      <c r="A42">
        <v>18.5</v>
      </c>
      <c r="B42">
        <v>1</v>
      </c>
      <c r="C42">
        <v>66.964500000000001</v>
      </c>
      <c r="D42">
        <v>0.1541882</v>
      </c>
      <c r="E42" s="3">
        <f t="shared" si="0"/>
        <v>39.427363037693702</v>
      </c>
      <c r="F42">
        <v>46.313189999999999</v>
      </c>
      <c r="G42">
        <v>53.196959999999997</v>
      </c>
      <c r="H42">
        <v>60.080730000000003</v>
      </c>
      <c r="I42">
        <v>66.964500000000001</v>
      </c>
      <c r="J42">
        <v>73.848269999999999</v>
      </c>
      <c r="K42">
        <v>80.732039999999998</v>
      </c>
      <c r="L42">
        <v>87.615809999999996</v>
      </c>
      <c r="M42" s="4">
        <f t="shared" si="1"/>
        <v>94.501636962306307</v>
      </c>
    </row>
    <row r="43" spans="1:13" x14ac:dyDescent="0.2">
      <c r="A43">
        <v>19</v>
      </c>
      <c r="B43">
        <v>1</v>
      </c>
      <c r="C43">
        <v>66.917209999999997</v>
      </c>
      <c r="D43">
        <v>0.15329129999999999</v>
      </c>
      <c r="E43" s="3">
        <f t="shared" si="0"/>
        <v>39.559587755900914</v>
      </c>
      <c r="F43">
        <v>46.400539999999999</v>
      </c>
      <c r="G43">
        <v>53.239429999999999</v>
      </c>
      <c r="H43">
        <v>60.078319999999998</v>
      </c>
      <c r="I43">
        <v>66.917209999999997</v>
      </c>
      <c r="J43">
        <v>73.756100000000004</v>
      </c>
      <c r="K43">
        <v>80.594999999999999</v>
      </c>
      <c r="L43">
        <v>87.433890000000005</v>
      </c>
      <c r="M43" s="4">
        <f t="shared" si="1"/>
        <v>94.274832244099073</v>
      </c>
    </row>
    <row r="44" spans="1:13" x14ac:dyDescent="0.2">
      <c r="A44">
        <v>19.5</v>
      </c>
      <c r="B44">
        <v>1</v>
      </c>
      <c r="C44">
        <v>66.779820000000001</v>
      </c>
      <c r="D44">
        <v>0.15239430000000001</v>
      </c>
      <c r="E44" s="3">
        <f t="shared" si="0"/>
        <v>39.638123917289654</v>
      </c>
      <c r="F44">
        <v>46.425080000000001</v>
      </c>
      <c r="G44">
        <v>53.209989999999998</v>
      </c>
      <c r="H44">
        <v>59.994909999999997</v>
      </c>
      <c r="I44">
        <v>66.779820000000001</v>
      </c>
      <c r="J44">
        <v>73.56474</v>
      </c>
      <c r="K44">
        <v>80.34966</v>
      </c>
      <c r="L44">
        <v>87.134569999999997</v>
      </c>
      <c r="M44" s="4">
        <f t="shared" si="1"/>
        <v>93.921516082710355</v>
      </c>
    </row>
    <row r="45" spans="1:13" x14ac:dyDescent="0.2">
      <c r="A45">
        <v>20</v>
      </c>
      <c r="B45">
        <v>1</v>
      </c>
      <c r="C45">
        <v>66.590519999999998</v>
      </c>
      <c r="D45">
        <v>0.1514974</v>
      </c>
      <c r="E45" s="3">
        <f t="shared" si="0"/>
        <v>39.685048850723781</v>
      </c>
      <c r="F45">
        <v>46.412930000000003</v>
      </c>
      <c r="G45">
        <v>53.13879</v>
      </c>
      <c r="H45">
        <v>59.864649999999997</v>
      </c>
      <c r="I45">
        <v>66.590519999999998</v>
      </c>
      <c r="J45">
        <v>73.316379999999995</v>
      </c>
      <c r="K45">
        <v>80.042240000000007</v>
      </c>
      <c r="L45">
        <v>86.768100000000004</v>
      </c>
      <c r="M45" s="4">
        <f t="shared" si="1"/>
        <v>93.495991149276207</v>
      </c>
    </row>
    <row r="46" spans="1:13" x14ac:dyDescent="0.2">
      <c r="A46">
        <v>20.5</v>
      </c>
      <c r="B46">
        <v>1</v>
      </c>
      <c r="C46">
        <v>66.377520000000004</v>
      </c>
      <c r="D46">
        <v>0.1506004</v>
      </c>
      <c r="E46" s="3">
        <f t="shared" si="0"/>
        <v>39.716905004957667</v>
      </c>
      <c r="F46">
        <v>46.383560000000003</v>
      </c>
      <c r="G46">
        <v>53.048209999999997</v>
      </c>
      <c r="H46">
        <v>59.712859999999999</v>
      </c>
      <c r="I46">
        <v>66.377520000000004</v>
      </c>
      <c r="J46">
        <v>73.042180000000002</v>
      </c>
      <c r="K46">
        <v>79.706829999999997</v>
      </c>
      <c r="L46">
        <v>86.371480000000005</v>
      </c>
      <c r="M46" s="4">
        <f t="shared" si="1"/>
        <v>93.038134995042341</v>
      </c>
    </row>
    <row r="47" spans="1:13" x14ac:dyDescent="0.2">
      <c r="A47">
        <v>21</v>
      </c>
      <c r="B47">
        <v>1</v>
      </c>
      <c r="C47">
        <v>66.151169999999993</v>
      </c>
      <c r="D47">
        <v>0.14970349999999999</v>
      </c>
      <c r="E47" s="3">
        <f t="shared" si="0"/>
        <v>39.739704504520638</v>
      </c>
      <c r="F47">
        <v>46.344059999999999</v>
      </c>
      <c r="G47">
        <v>52.946429999999999</v>
      </c>
      <c r="H47">
        <v>59.5488</v>
      </c>
      <c r="I47">
        <v>66.151169999999993</v>
      </c>
      <c r="J47">
        <v>72.753540000000001</v>
      </c>
      <c r="K47">
        <v>79.355909999999994</v>
      </c>
      <c r="L47">
        <v>85.958269999999999</v>
      </c>
      <c r="M47" s="4">
        <f t="shared" si="1"/>
        <v>92.562635495479356</v>
      </c>
    </row>
    <row r="48" spans="1:13" x14ac:dyDescent="0.2">
      <c r="A48">
        <v>21.5</v>
      </c>
      <c r="B48">
        <v>1</v>
      </c>
      <c r="C48">
        <v>65.920590000000004</v>
      </c>
      <c r="D48">
        <v>0.14880650000000001</v>
      </c>
      <c r="E48" s="3">
        <f t="shared" si="0"/>
        <v>39.758887460348056</v>
      </c>
      <c r="F48">
        <v>46.300780000000003</v>
      </c>
      <c r="G48">
        <v>52.840710000000001</v>
      </c>
      <c r="H48">
        <v>59.380650000000003</v>
      </c>
      <c r="I48">
        <v>65.920590000000004</v>
      </c>
      <c r="J48">
        <v>72.460520000000002</v>
      </c>
      <c r="K48">
        <v>79.000460000000004</v>
      </c>
      <c r="L48">
        <v>85.540390000000002</v>
      </c>
      <c r="M48" s="4">
        <f t="shared" si="1"/>
        <v>92.082292539651959</v>
      </c>
    </row>
    <row r="49" spans="1:13" x14ac:dyDescent="0.2">
      <c r="A49">
        <v>22</v>
      </c>
      <c r="B49">
        <v>1</v>
      </c>
      <c r="C49">
        <v>65.688929999999999</v>
      </c>
      <c r="D49">
        <v>0.1479096</v>
      </c>
      <c r="E49" s="3">
        <f t="shared" si="0"/>
        <v>39.776295696938426</v>
      </c>
      <c r="F49">
        <v>46.255920000000003</v>
      </c>
      <c r="G49">
        <v>52.73359</v>
      </c>
      <c r="H49">
        <v>59.211260000000003</v>
      </c>
      <c r="I49">
        <v>65.688929999999999</v>
      </c>
      <c r="J49">
        <v>72.166600000000003</v>
      </c>
      <c r="K49">
        <v>78.644279999999995</v>
      </c>
      <c r="L49">
        <v>85.121949999999998</v>
      </c>
      <c r="M49" s="4">
        <f t="shared" si="1"/>
        <v>91.601564303061565</v>
      </c>
    </row>
    <row r="50" spans="1:13" x14ac:dyDescent="0.2">
      <c r="A50">
        <v>22.5</v>
      </c>
      <c r="B50">
        <v>1</v>
      </c>
      <c r="C50">
        <v>65.45617</v>
      </c>
      <c r="D50">
        <v>0.14701259999999999</v>
      </c>
      <c r="E50" s="3">
        <f t="shared" si="0"/>
        <v>39.791944405442088</v>
      </c>
      <c r="F50">
        <v>46.209440000000001</v>
      </c>
      <c r="G50">
        <v>52.625019999999999</v>
      </c>
      <c r="H50">
        <v>59.040590000000002</v>
      </c>
      <c r="I50">
        <v>65.45617</v>
      </c>
      <c r="J50">
        <v>71.871740000000003</v>
      </c>
      <c r="K50">
        <v>78.287319999999994</v>
      </c>
      <c r="L50">
        <v>84.7029</v>
      </c>
      <c r="M50" s="4">
        <f t="shared" si="1"/>
        <v>91.12039559455792</v>
      </c>
    </row>
    <row r="51" spans="1:13" x14ac:dyDescent="0.2">
      <c r="A51">
        <v>23</v>
      </c>
      <c r="B51">
        <v>1</v>
      </c>
      <c r="C51">
        <v>65.22748</v>
      </c>
      <c r="D51">
        <v>0.14611569999999999</v>
      </c>
      <c r="E51" s="3">
        <f t="shared" si="0"/>
        <v>39.808946015204192</v>
      </c>
      <c r="F51">
        <v>46.165010000000002</v>
      </c>
      <c r="G51">
        <v>52.519170000000003</v>
      </c>
      <c r="H51">
        <v>58.87332</v>
      </c>
      <c r="I51">
        <v>65.22748</v>
      </c>
      <c r="J51">
        <v>71.581630000000004</v>
      </c>
      <c r="K51">
        <v>77.935789999999997</v>
      </c>
      <c r="L51">
        <v>84.289940000000001</v>
      </c>
      <c r="M51" s="4">
        <f t="shared" si="1"/>
        <v>90.6460139847958</v>
      </c>
    </row>
    <row r="52" spans="1:13" x14ac:dyDescent="0.2">
      <c r="A52">
        <v>23.5</v>
      </c>
      <c r="B52">
        <v>1</v>
      </c>
      <c r="C52">
        <v>65.008809999999997</v>
      </c>
      <c r="D52">
        <v>0.14521870000000001</v>
      </c>
      <c r="E52" s="3">
        <f t="shared" si="0"/>
        <v>39.831010163715753</v>
      </c>
      <c r="F52">
        <v>46.12688</v>
      </c>
      <c r="G52">
        <v>52.420859999999998</v>
      </c>
      <c r="H52">
        <v>58.714829999999999</v>
      </c>
      <c r="I52">
        <v>65.008809999999997</v>
      </c>
      <c r="J52">
        <v>71.302790000000002</v>
      </c>
      <c r="K52">
        <v>77.596770000000006</v>
      </c>
      <c r="L52">
        <v>83.890749999999997</v>
      </c>
      <c r="M52" s="4">
        <f t="shared" si="1"/>
        <v>90.186609836284234</v>
      </c>
    </row>
    <row r="53" spans="1:13" x14ac:dyDescent="0.2">
      <c r="A53">
        <v>24</v>
      </c>
      <c r="B53">
        <v>1</v>
      </c>
      <c r="C53">
        <v>64.794169999999994</v>
      </c>
      <c r="D53">
        <v>0.1443217</v>
      </c>
      <c r="E53" s="3">
        <f t="shared" si="0"/>
        <v>39.854506893107832</v>
      </c>
      <c r="F53">
        <v>46.090820000000001</v>
      </c>
      <c r="G53">
        <v>52.325270000000003</v>
      </c>
      <c r="H53">
        <v>58.559719999999999</v>
      </c>
      <c r="I53">
        <v>64.794169999999994</v>
      </c>
      <c r="J53">
        <v>71.028620000000004</v>
      </c>
      <c r="K53">
        <v>77.263069999999999</v>
      </c>
      <c r="L53">
        <v>83.497510000000005</v>
      </c>
      <c r="M53" s="4">
        <f t="shared" si="1"/>
        <v>89.733833106892163</v>
      </c>
    </row>
  </sheetData>
  <phoneticPr fontId="1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7BFD-9484-A143-ACF9-95B7D6BA4237}">
  <dimension ref="A1:M53"/>
  <sheetViews>
    <sheetView tabSelected="1" topLeftCell="A7" workbookViewId="0">
      <selection activeCell="M13" sqref="M13"/>
    </sheetView>
  </sheetViews>
  <sheetFormatPr baseColWidth="10" defaultColWidth="11.5" defaultRowHeight="13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21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23</v>
      </c>
    </row>
    <row r="9" spans="1:13" x14ac:dyDescent="0.2">
      <c r="A9" t="s">
        <v>8</v>
      </c>
      <c r="B9" t="s">
        <v>9</v>
      </c>
      <c r="C9" t="s">
        <v>10</v>
      </c>
      <c r="D9" t="s">
        <v>11</v>
      </c>
    </row>
    <row r="10" spans="1:13" x14ac:dyDescent="0.2">
      <c r="A10" t="s">
        <v>12</v>
      </c>
      <c r="B10">
        <v>0</v>
      </c>
      <c r="C10">
        <v>5</v>
      </c>
      <c r="D10">
        <v>2</v>
      </c>
    </row>
    <row r="12" spans="1:13" x14ac:dyDescent="0.2">
      <c r="A12" t="s">
        <v>13</v>
      </c>
      <c r="B12" t="s">
        <v>9</v>
      </c>
      <c r="C12" t="s">
        <v>10</v>
      </c>
      <c r="D12" t="s">
        <v>11</v>
      </c>
      <c r="E12">
        <v>-2.6669999999999998</v>
      </c>
      <c r="F12">
        <v>-2.0001000000000002</v>
      </c>
      <c r="G12">
        <v>-1.3333999999999999</v>
      </c>
      <c r="H12">
        <v>-0.66669999999999996</v>
      </c>
      <c r="I12">
        <v>0</v>
      </c>
      <c r="J12">
        <v>0.66669999999999996</v>
      </c>
      <c r="K12">
        <v>1.3333999999999999</v>
      </c>
      <c r="L12">
        <v>2.0001000000000002</v>
      </c>
      <c r="M12">
        <v>2.6669999999999998</v>
      </c>
    </row>
    <row r="13" spans="1:13" x14ac:dyDescent="0.2">
      <c r="A13">
        <v>4</v>
      </c>
      <c r="B13">
        <v>1</v>
      </c>
      <c r="C13">
        <v>46.249020000000002</v>
      </c>
      <c r="D13">
        <v>0.17644290000000001</v>
      </c>
      <c r="E13" s="3">
        <f>C13*(1+(B13*D13*-2.667))^(1/B13)</f>
        <v>24.485470000375017</v>
      </c>
      <c r="F13">
        <v>29.927579999999999</v>
      </c>
      <c r="G13">
        <v>35.36806</v>
      </c>
      <c r="H13">
        <v>40.808540000000001</v>
      </c>
      <c r="I13">
        <v>46.249020000000002</v>
      </c>
      <c r="J13">
        <v>51.689500000000002</v>
      </c>
      <c r="K13">
        <v>57.129980000000003</v>
      </c>
      <c r="L13">
        <v>62.570459999999997</v>
      </c>
      <c r="M13">
        <f>C13*(1+(B13*D13*2.667))^(1/B13)</f>
        <v>68.012569999624986</v>
      </c>
    </row>
    <row r="14" spans="1:13" x14ac:dyDescent="0.2">
      <c r="A14">
        <v>4.5</v>
      </c>
      <c r="B14">
        <v>1</v>
      </c>
      <c r="C14">
        <v>46.803930000000001</v>
      </c>
      <c r="D14">
        <v>0.17585990000000001</v>
      </c>
      <c r="E14" s="3">
        <f t="shared" ref="E14:E53" si="0">C14*(1+(B14*D14*-2.667))^(1/B14)</f>
        <v>24.852027823431527</v>
      </c>
      <c r="F14">
        <v>30.341239999999999</v>
      </c>
      <c r="G14">
        <v>35.828800000000001</v>
      </c>
      <c r="H14">
        <v>41.316369999999999</v>
      </c>
      <c r="I14">
        <v>46.803930000000001</v>
      </c>
      <c r="J14">
        <v>52.291499999999999</v>
      </c>
      <c r="K14">
        <v>57.779060000000001</v>
      </c>
      <c r="L14">
        <v>63.266620000000003</v>
      </c>
      <c r="M14">
        <f t="shared" ref="M14:M53" si="1">C14*(1+(B14*D14*2.667))^(1/B14)</f>
        <v>68.755832176568475</v>
      </c>
    </row>
    <row r="15" spans="1:13" x14ac:dyDescent="0.2">
      <c r="A15">
        <v>5</v>
      </c>
      <c r="B15">
        <v>1</v>
      </c>
      <c r="C15">
        <v>47.358040000000003</v>
      </c>
      <c r="D15">
        <v>0.17527690000000001</v>
      </c>
      <c r="E15" s="3">
        <f t="shared" si="0"/>
        <v>25.219885233116905</v>
      </c>
      <c r="F15">
        <v>30.755680000000002</v>
      </c>
      <c r="G15">
        <v>36.2898</v>
      </c>
      <c r="H15">
        <v>41.823920000000001</v>
      </c>
      <c r="I15">
        <v>47.358040000000003</v>
      </c>
      <c r="J15">
        <v>52.89217</v>
      </c>
      <c r="K15">
        <v>58.426290000000002</v>
      </c>
      <c r="L15">
        <v>63.960410000000003</v>
      </c>
      <c r="M15">
        <f t="shared" si="1"/>
        <v>69.496194766883093</v>
      </c>
    </row>
    <row r="16" spans="1:13" x14ac:dyDescent="0.2">
      <c r="A16">
        <v>5.5</v>
      </c>
      <c r="B16">
        <v>1</v>
      </c>
      <c r="C16">
        <v>47.909480000000002</v>
      </c>
      <c r="D16">
        <v>0.17469390000000001</v>
      </c>
      <c r="E16" s="3">
        <f t="shared" si="0"/>
        <v>25.588039746905274</v>
      </c>
      <c r="F16">
        <v>31.16966</v>
      </c>
      <c r="G16">
        <v>36.749600000000001</v>
      </c>
      <c r="H16">
        <v>42.329540000000001</v>
      </c>
      <c r="I16">
        <v>47.909480000000002</v>
      </c>
      <c r="J16">
        <v>53.489420000000003</v>
      </c>
      <c r="K16">
        <v>59.069360000000003</v>
      </c>
      <c r="L16">
        <v>64.649289999999993</v>
      </c>
      <c r="M16">
        <f t="shared" si="1"/>
        <v>70.230920253094723</v>
      </c>
    </row>
    <row r="17" spans="1:13" x14ac:dyDescent="0.2">
      <c r="A17">
        <v>6</v>
      </c>
      <c r="B17">
        <v>1</v>
      </c>
      <c r="C17">
        <v>48.456189999999999</v>
      </c>
      <c r="D17">
        <v>0.17411080000000001</v>
      </c>
      <c r="E17" s="3">
        <f t="shared" si="0"/>
        <v>25.955388402392717</v>
      </c>
      <c r="F17">
        <v>31.581849999999999</v>
      </c>
      <c r="G17">
        <v>37.206629999999997</v>
      </c>
      <c r="H17">
        <v>42.831409999999998</v>
      </c>
      <c r="I17">
        <v>48.456189999999999</v>
      </c>
      <c r="J17">
        <v>54.080970000000001</v>
      </c>
      <c r="K17">
        <v>59.705750000000002</v>
      </c>
      <c r="L17">
        <v>65.330529999999996</v>
      </c>
      <c r="M17">
        <f t="shared" si="1"/>
        <v>70.956991597607285</v>
      </c>
    </row>
    <row r="18" spans="1:13" x14ac:dyDescent="0.2">
      <c r="A18">
        <v>6.5</v>
      </c>
      <c r="B18">
        <v>1</v>
      </c>
      <c r="C18">
        <v>48.996830000000003</v>
      </c>
      <c r="D18">
        <v>0.17352780000000001</v>
      </c>
      <c r="E18" s="3">
        <f t="shared" si="0"/>
        <v>26.321163584297047</v>
      </c>
      <c r="F18">
        <v>31.991350000000001</v>
      </c>
      <c r="G18">
        <v>37.659840000000003</v>
      </c>
      <c r="H18">
        <v>43.328330000000001</v>
      </c>
      <c r="I18">
        <v>48.996830000000003</v>
      </c>
      <c r="J18">
        <v>54.665320000000001</v>
      </c>
      <c r="K18">
        <v>60.33381</v>
      </c>
      <c r="L18">
        <v>66.002300000000005</v>
      </c>
      <c r="M18">
        <f t="shared" si="1"/>
        <v>71.672496415702952</v>
      </c>
    </row>
    <row r="19" spans="1:13" x14ac:dyDescent="0.2">
      <c r="A19">
        <v>7</v>
      </c>
      <c r="B19">
        <v>1</v>
      </c>
      <c r="C19">
        <v>49.534050000000001</v>
      </c>
      <c r="D19">
        <v>0.17294480000000001</v>
      </c>
      <c r="E19" s="3">
        <f t="shared" si="0"/>
        <v>26.68677746003652</v>
      </c>
      <c r="F19">
        <v>32.399880000000003</v>
      </c>
      <c r="G19">
        <v>38.111269999999998</v>
      </c>
      <c r="H19">
        <v>43.822659999999999</v>
      </c>
      <c r="I19">
        <v>49.534050000000001</v>
      </c>
      <c r="J19">
        <v>55.245440000000002</v>
      </c>
      <c r="K19">
        <v>60.956829999999997</v>
      </c>
      <c r="L19">
        <v>66.668220000000005</v>
      </c>
      <c r="M19">
        <f t="shared" si="1"/>
        <v>72.381322539963477</v>
      </c>
    </row>
    <row r="20" spans="1:13" x14ac:dyDescent="0.2">
      <c r="A20">
        <v>7.5</v>
      </c>
      <c r="B20">
        <v>1</v>
      </c>
      <c r="C20">
        <v>50.07152</v>
      </c>
      <c r="D20">
        <v>0.17236180000000001</v>
      </c>
      <c r="E20" s="3">
        <f t="shared" si="0"/>
        <v>27.054197018398689</v>
      </c>
      <c r="F20">
        <v>32.809829999999998</v>
      </c>
      <c r="G20">
        <v>38.563720000000004</v>
      </c>
      <c r="H20">
        <v>44.317619999999998</v>
      </c>
      <c r="I20">
        <v>50.07152</v>
      </c>
      <c r="J20">
        <v>55.825420000000001</v>
      </c>
      <c r="K20">
        <v>61.579320000000003</v>
      </c>
      <c r="L20">
        <v>67.333209999999994</v>
      </c>
      <c r="M20">
        <f t="shared" si="1"/>
        <v>73.088842981601317</v>
      </c>
    </row>
    <row r="21" spans="1:13" x14ac:dyDescent="0.2">
      <c r="A21">
        <v>8</v>
      </c>
      <c r="B21">
        <v>1</v>
      </c>
      <c r="C21">
        <v>50.61421</v>
      </c>
      <c r="D21">
        <v>0.17177870000000001</v>
      </c>
      <c r="E21" s="3">
        <f t="shared" si="0"/>
        <v>27.426129998062891</v>
      </c>
      <c r="F21">
        <v>33.224449999999997</v>
      </c>
      <c r="G21">
        <v>39.021039999999999</v>
      </c>
      <c r="H21">
        <v>44.817630000000001</v>
      </c>
      <c r="I21">
        <v>50.61421</v>
      </c>
      <c r="J21">
        <v>56.410800000000002</v>
      </c>
      <c r="K21">
        <v>62.207389999999997</v>
      </c>
      <c r="L21">
        <v>68.003969999999995</v>
      </c>
      <c r="M21">
        <f t="shared" si="1"/>
        <v>73.802290001937109</v>
      </c>
    </row>
    <row r="22" spans="1:13" x14ac:dyDescent="0.2">
      <c r="A22">
        <v>8.5</v>
      </c>
      <c r="B22">
        <v>1</v>
      </c>
      <c r="C22">
        <v>51.168089999999999</v>
      </c>
      <c r="D22">
        <v>0.17119570000000001</v>
      </c>
      <c r="E22" s="3">
        <f t="shared" si="0"/>
        <v>27.805818120436928</v>
      </c>
      <c r="F22">
        <v>33.6477</v>
      </c>
      <c r="G22">
        <v>39.487830000000002</v>
      </c>
      <c r="H22">
        <v>45.327959999999997</v>
      </c>
      <c r="I22">
        <v>51.168089999999999</v>
      </c>
      <c r="J22">
        <v>57.008220000000001</v>
      </c>
      <c r="K22">
        <v>62.848350000000003</v>
      </c>
      <c r="L22">
        <v>68.688479999999998</v>
      </c>
      <c r="M22">
        <f t="shared" si="1"/>
        <v>74.530361879563074</v>
      </c>
    </row>
    <row r="23" spans="1:13" x14ac:dyDescent="0.2">
      <c r="A23">
        <v>9</v>
      </c>
      <c r="B23">
        <v>1</v>
      </c>
      <c r="C23">
        <v>51.740369999999999</v>
      </c>
      <c r="D23">
        <v>0.17061270000000001</v>
      </c>
      <c r="E23" s="3">
        <f t="shared" si="0"/>
        <v>28.197256212727769</v>
      </c>
      <c r="F23">
        <v>34.084359999999997</v>
      </c>
      <c r="G23">
        <v>39.96969</v>
      </c>
      <c r="H23">
        <v>45.855029999999999</v>
      </c>
      <c r="I23">
        <v>51.740369999999999</v>
      </c>
      <c r="J23">
        <v>57.625709999999998</v>
      </c>
      <c r="K23">
        <v>63.511040000000001</v>
      </c>
      <c r="L23">
        <v>69.396379999999994</v>
      </c>
      <c r="M23">
        <f t="shared" si="1"/>
        <v>75.283483787272232</v>
      </c>
    </row>
    <row r="24" spans="1:13" x14ac:dyDescent="0.2">
      <c r="A24">
        <v>9.5</v>
      </c>
      <c r="B24">
        <v>1</v>
      </c>
      <c r="C24">
        <v>52.334679999999999</v>
      </c>
      <c r="D24">
        <v>0.17002970000000001</v>
      </c>
      <c r="E24" s="3">
        <f t="shared" si="0"/>
        <v>28.602514010030671</v>
      </c>
      <c r="F24">
        <v>34.53689</v>
      </c>
      <c r="G24">
        <v>40.46949</v>
      </c>
      <c r="H24">
        <v>46.402079999999998</v>
      </c>
      <c r="I24">
        <v>52.334679999999999</v>
      </c>
      <c r="J24">
        <v>58.267270000000003</v>
      </c>
      <c r="K24">
        <v>64.199870000000004</v>
      </c>
      <c r="L24">
        <v>70.132469999999998</v>
      </c>
      <c r="M24">
        <f t="shared" si="1"/>
        <v>76.066845989969323</v>
      </c>
    </row>
    <row r="25" spans="1:13" x14ac:dyDescent="0.2">
      <c r="A25">
        <v>10</v>
      </c>
      <c r="B25">
        <v>1</v>
      </c>
      <c r="C25">
        <v>52.948180000000001</v>
      </c>
      <c r="D25">
        <v>0.16944670000000001</v>
      </c>
      <c r="E25" s="3">
        <f t="shared" si="0"/>
        <v>29.020137709860002</v>
      </c>
      <c r="F25">
        <v>35.003500000000003</v>
      </c>
      <c r="G25">
        <v>40.985059999999997</v>
      </c>
      <c r="H25">
        <v>46.966619999999999</v>
      </c>
      <c r="I25">
        <v>52.948180000000001</v>
      </c>
      <c r="J25">
        <v>58.929740000000002</v>
      </c>
      <c r="K25">
        <v>64.911299999999997</v>
      </c>
      <c r="L25">
        <v>70.892859999999999</v>
      </c>
      <c r="M25">
        <f t="shared" si="1"/>
        <v>76.876222290139992</v>
      </c>
    </row>
    <row r="26" spans="1:13" x14ac:dyDescent="0.2">
      <c r="A26">
        <v>10.5</v>
      </c>
      <c r="B26">
        <v>1</v>
      </c>
      <c r="C26">
        <v>53.574680000000001</v>
      </c>
      <c r="D26">
        <v>0.1688636</v>
      </c>
      <c r="E26" s="3">
        <f t="shared" si="0"/>
        <v>29.446828839160784</v>
      </c>
      <c r="F26">
        <v>35.480139999999999</v>
      </c>
      <c r="G26">
        <v>41.511650000000003</v>
      </c>
      <c r="H26">
        <v>47.54316</v>
      </c>
      <c r="I26">
        <v>53.574680000000001</v>
      </c>
      <c r="J26">
        <v>59.606189999999998</v>
      </c>
      <c r="K26">
        <v>65.637699999999995</v>
      </c>
      <c r="L26">
        <v>71.669210000000007</v>
      </c>
      <c r="M26">
        <f t="shared" si="1"/>
        <v>77.702531160839214</v>
      </c>
    </row>
    <row r="27" spans="1:13" x14ac:dyDescent="0.2">
      <c r="A27">
        <v>11</v>
      </c>
      <c r="B27">
        <v>1</v>
      </c>
      <c r="C27">
        <v>54.203400000000002</v>
      </c>
      <c r="D27">
        <v>0.1682806</v>
      </c>
      <c r="E27" s="3">
        <f t="shared" si="0"/>
        <v>29.876677742335321</v>
      </c>
      <c r="F27">
        <v>35.959719999999997</v>
      </c>
      <c r="G27">
        <v>42.040950000000002</v>
      </c>
      <c r="H27">
        <v>48.122169999999997</v>
      </c>
      <c r="I27">
        <v>54.203400000000002</v>
      </c>
      <c r="J27">
        <v>60.284619999999997</v>
      </c>
      <c r="K27">
        <v>66.365840000000006</v>
      </c>
      <c r="L27">
        <v>72.447069999999997</v>
      </c>
      <c r="M27">
        <f t="shared" si="1"/>
        <v>78.530122257664686</v>
      </c>
    </row>
    <row r="28" spans="1:13" x14ac:dyDescent="0.2">
      <c r="A28">
        <v>11.5</v>
      </c>
      <c r="B28">
        <v>1</v>
      </c>
      <c r="C28">
        <v>54.818199999999997</v>
      </c>
      <c r="D28">
        <v>0.1676976</v>
      </c>
      <c r="E28" s="3">
        <f t="shared" si="0"/>
        <v>30.300787502954559</v>
      </c>
      <c r="F28">
        <v>36.431519999999999</v>
      </c>
      <c r="G28">
        <v>42.560409999999997</v>
      </c>
      <c r="H28">
        <v>48.689300000000003</v>
      </c>
      <c r="I28">
        <v>54.818199999999997</v>
      </c>
      <c r="J28">
        <v>60.947090000000003</v>
      </c>
      <c r="K28">
        <v>67.075990000000004</v>
      </c>
      <c r="L28">
        <v>73.204880000000003</v>
      </c>
      <c r="M28">
        <f t="shared" si="1"/>
        <v>79.335612497045432</v>
      </c>
    </row>
    <row r="29" spans="1:13" x14ac:dyDescent="0.2">
      <c r="A29">
        <v>12</v>
      </c>
      <c r="B29">
        <v>1</v>
      </c>
      <c r="C29">
        <v>55.403239999999997</v>
      </c>
      <c r="D29">
        <v>0.1671146</v>
      </c>
      <c r="E29" s="3">
        <f t="shared" si="0"/>
        <v>30.710312993092231</v>
      </c>
      <c r="F29">
        <v>36.88494</v>
      </c>
      <c r="G29">
        <v>43.057699999999997</v>
      </c>
      <c r="H29">
        <v>49.230469999999997</v>
      </c>
      <c r="I29">
        <v>55.403239999999997</v>
      </c>
      <c r="J29">
        <v>61.576009999999997</v>
      </c>
      <c r="K29">
        <v>67.748779999999996</v>
      </c>
      <c r="L29">
        <v>73.921539999999993</v>
      </c>
      <c r="M29">
        <f t="shared" si="1"/>
        <v>80.096167006907763</v>
      </c>
    </row>
    <row r="30" spans="1:13" x14ac:dyDescent="0.2">
      <c r="A30">
        <v>12.5</v>
      </c>
      <c r="B30">
        <v>1</v>
      </c>
      <c r="C30">
        <v>55.944299999999998</v>
      </c>
      <c r="D30">
        <v>0.1665315</v>
      </c>
      <c r="E30" s="3">
        <f t="shared" si="0"/>
        <v>31.097225982734855</v>
      </c>
      <c r="F30">
        <v>37.310389999999998</v>
      </c>
      <c r="G30">
        <v>43.52169</v>
      </c>
      <c r="H30">
        <v>49.732990000000001</v>
      </c>
      <c r="I30">
        <v>55.944299999999998</v>
      </c>
      <c r="J30">
        <v>62.1556</v>
      </c>
      <c r="K30">
        <v>68.366910000000004</v>
      </c>
      <c r="L30">
        <v>74.578209999999999</v>
      </c>
      <c r="M30">
        <f t="shared" si="1"/>
        <v>80.791374017265142</v>
      </c>
    </row>
    <row r="31" spans="1:13" x14ac:dyDescent="0.2">
      <c r="A31">
        <v>13</v>
      </c>
      <c r="B31">
        <v>1</v>
      </c>
      <c r="C31">
        <v>56.430929999999996</v>
      </c>
      <c r="D31">
        <v>0.1659485</v>
      </c>
      <c r="E31" s="3">
        <f t="shared" si="0"/>
        <v>31.455466624990965</v>
      </c>
      <c r="F31">
        <v>37.700740000000003</v>
      </c>
      <c r="G31">
        <v>43.944139999999997</v>
      </c>
      <c r="H31">
        <v>50.187530000000002</v>
      </c>
      <c r="I31">
        <v>56.430929999999996</v>
      </c>
      <c r="J31">
        <v>62.674340000000001</v>
      </c>
      <c r="K31">
        <v>68.917730000000006</v>
      </c>
      <c r="L31">
        <v>75.16113</v>
      </c>
      <c r="M31">
        <f t="shared" si="1"/>
        <v>81.406393375009031</v>
      </c>
    </row>
    <row r="32" spans="1:13" x14ac:dyDescent="0.2">
      <c r="A32">
        <v>13.5</v>
      </c>
      <c r="B32">
        <v>1</v>
      </c>
      <c r="C32">
        <v>56.85528</v>
      </c>
      <c r="D32">
        <v>0.1653655</v>
      </c>
      <c r="E32" s="3">
        <f t="shared" si="0"/>
        <v>31.780407886491723</v>
      </c>
      <c r="F32">
        <v>38.050539999999998</v>
      </c>
      <c r="G32">
        <v>44.31879</v>
      </c>
      <c r="H32">
        <v>50.587029999999999</v>
      </c>
      <c r="I32">
        <v>56.85528</v>
      </c>
      <c r="J32">
        <v>63.123530000000002</v>
      </c>
      <c r="K32">
        <v>69.391779999999997</v>
      </c>
      <c r="L32">
        <v>75.660030000000006</v>
      </c>
      <c r="M32">
        <f t="shared" si="1"/>
        <v>81.930152113508271</v>
      </c>
    </row>
    <row r="33" spans="1:13" x14ac:dyDescent="0.2">
      <c r="A33">
        <v>14</v>
      </c>
      <c r="B33">
        <v>1</v>
      </c>
      <c r="C33">
        <v>57.215020000000003</v>
      </c>
      <c r="D33">
        <v>0.1647825</v>
      </c>
      <c r="E33" s="3">
        <f t="shared" si="0"/>
        <v>32.070453233588957</v>
      </c>
      <c r="F33">
        <v>38.35801</v>
      </c>
      <c r="G33">
        <v>44.643680000000003</v>
      </c>
      <c r="H33">
        <v>50.929349999999999</v>
      </c>
      <c r="I33">
        <v>57.215020000000003</v>
      </c>
      <c r="J33">
        <v>63.500680000000003</v>
      </c>
      <c r="K33">
        <v>69.786349999999999</v>
      </c>
      <c r="L33">
        <v>76.072019999999995</v>
      </c>
      <c r="M33">
        <f t="shared" si="1"/>
        <v>82.359586766411056</v>
      </c>
    </row>
    <row r="34" spans="1:13" x14ac:dyDescent="0.2">
      <c r="A34">
        <v>14.5</v>
      </c>
      <c r="B34">
        <v>1</v>
      </c>
      <c r="C34">
        <v>57.511569999999999</v>
      </c>
      <c r="D34">
        <v>0.1641995</v>
      </c>
      <c r="E34" s="3">
        <f t="shared" si="0"/>
        <v>32.326099441080594</v>
      </c>
      <c r="F34">
        <v>38.623890000000003</v>
      </c>
      <c r="G34">
        <v>44.919780000000003</v>
      </c>
      <c r="H34">
        <v>51.215679999999999</v>
      </c>
      <c r="I34">
        <v>57.511569999999999</v>
      </c>
      <c r="J34">
        <v>63.807459999999999</v>
      </c>
      <c r="K34">
        <v>70.103359999999995</v>
      </c>
      <c r="L34">
        <v>76.399249999999995</v>
      </c>
      <c r="M34">
        <f t="shared" si="1"/>
        <v>82.697040558919412</v>
      </c>
    </row>
    <row r="35" spans="1:13" x14ac:dyDescent="0.2">
      <c r="A35">
        <v>15</v>
      </c>
      <c r="B35">
        <v>1</v>
      </c>
      <c r="C35">
        <v>57.746259999999999</v>
      </c>
      <c r="D35">
        <v>0.1636164</v>
      </c>
      <c r="E35" s="3">
        <f t="shared" si="0"/>
        <v>32.547816789171115</v>
      </c>
      <c r="F35">
        <v>38.848840000000003</v>
      </c>
      <c r="G35">
        <v>45.147979999999997</v>
      </c>
      <c r="H35">
        <v>51.447119999999998</v>
      </c>
      <c r="I35">
        <v>57.746259999999999</v>
      </c>
      <c r="J35">
        <v>64.045400000000001</v>
      </c>
      <c r="K35">
        <v>70.344539999999995</v>
      </c>
      <c r="L35">
        <v>76.643680000000003</v>
      </c>
      <c r="M35">
        <f t="shared" si="1"/>
        <v>82.944703210828877</v>
      </c>
    </row>
    <row r="36" spans="1:13" x14ac:dyDescent="0.2">
      <c r="A36">
        <v>15.5</v>
      </c>
      <c r="B36">
        <v>1</v>
      </c>
      <c r="C36">
        <v>57.921399999999998</v>
      </c>
      <c r="D36">
        <v>0.16303339999999999</v>
      </c>
      <c r="E36" s="3">
        <f t="shared" si="0"/>
        <v>32.736591559715087</v>
      </c>
      <c r="F36">
        <v>39.034210000000002</v>
      </c>
      <c r="G36">
        <v>45.329940000000001</v>
      </c>
      <c r="H36">
        <v>51.62567</v>
      </c>
      <c r="I36">
        <v>57.921399999999998</v>
      </c>
      <c r="J36">
        <v>64.217129999999997</v>
      </c>
      <c r="K36">
        <v>70.512860000000003</v>
      </c>
      <c r="L36">
        <v>76.808589999999995</v>
      </c>
      <c r="M36">
        <f t="shared" si="1"/>
        <v>83.106208440284917</v>
      </c>
    </row>
    <row r="37" spans="1:13" x14ac:dyDescent="0.2">
      <c r="A37">
        <v>16</v>
      </c>
      <c r="B37">
        <v>1</v>
      </c>
      <c r="C37">
        <v>58.035739999999997</v>
      </c>
      <c r="D37">
        <v>0.16245039999999999</v>
      </c>
      <c r="E37" s="3">
        <f t="shared" si="0"/>
        <v>32.891452884151569</v>
      </c>
      <c r="F37">
        <v>39.178939999999997</v>
      </c>
      <c r="G37">
        <v>45.46454</v>
      </c>
      <c r="H37">
        <v>51.750140000000002</v>
      </c>
      <c r="I37">
        <v>58.035739999999997</v>
      </c>
      <c r="J37">
        <v>64.321340000000006</v>
      </c>
      <c r="K37">
        <v>70.606949999999998</v>
      </c>
      <c r="L37">
        <v>76.89255</v>
      </c>
      <c r="M37">
        <f t="shared" si="1"/>
        <v>83.180027115848418</v>
      </c>
    </row>
    <row r="38" spans="1:13" x14ac:dyDescent="0.2">
      <c r="A38">
        <v>16.5</v>
      </c>
      <c r="B38">
        <v>1</v>
      </c>
      <c r="C38">
        <v>58.089570000000002</v>
      </c>
      <c r="D38">
        <v>0.16186739999999999</v>
      </c>
      <c r="E38" s="3">
        <f t="shared" si="0"/>
        <v>33.012281962731002</v>
      </c>
      <c r="F38">
        <v>39.28302</v>
      </c>
      <c r="G38">
        <v>45.551870000000001</v>
      </c>
      <c r="H38">
        <v>51.820720000000001</v>
      </c>
      <c r="I38">
        <v>58.089570000000002</v>
      </c>
      <c r="J38">
        <v>64.358419999999995</v>
      </c>
      <c r="K38">
        <v>70.627269999999996</v>
      </c>
      <c r="L38">
        <v>76.896119999999996</v>
      </c>
      <c r="M38">
        <f t="shared" si="1"/>
        <v>83.166858037269009</v>
      </c>
    </row>
    <row r="39" spans="1:13" x14ac:dyDescent="0.2">
      <c r="A39">
        <v>17</v>
      </c>
      <c r="B39">
        <v>1</v>
      </c>
      <c r="C39">
        <v>58.087710000000001</v>
      </c>
      <c r="D39">
        <v>0.16128439999999999</v>
      </c>
      <c r="E39" s="3">
        <f t="shared" si="0"/>
        <v>33.101543240251097</v>
      </c>
      <c r="F39">
        <v>39.349490000000003</v>
      </c>
      <c r="G39">
        <v>45.595570000000002</v>
      </c>
      <c r="H39">
        <v>51.841639999999998</v>
      </c>
      <c r="I39">
        <v>58.087710000000001</v>
      </c>
      <c r="J39">
        <v>64.333780000000004</v>
      </c>
      <c r="K39">
        <v>70.579849999999993</v>
      </c>
      <c r="L39">
        <v>76.825919999999996</v>
      </c>
      <c r="M39">
        <f t="shared" si="1"/>
        <v>83.073876759748913</v>
      </c>
    </row>
    <row r="40" spans="1:13" x14ac:dyDescent="0.2">
      <c r="A40">
        <v>17.5</v>
      </c>
      <c r="B40">
        <v>1</v>
      </c>
      <c r="C40">
        <v>58.03633</v>
      </c>
      <c r="D40">
        <v>0.16070129999999999</v>
      </c>
      <c r="E40" s="3">
        <f t="shared" si="0"/>
        <v>33.162518020163255</v>
      </c>
      <c r="F40">
        <v>39.382370000000002</v>
      </c>
      <c r="G40">
        <v>45.600349999999999</v>
      </c>
      <c r="H40">
        <v>51.818339999999999</v>
      </c>
      <c r="I40">
        <v>58.03633</v>
      </c>
      <c r="J40">
        <v>64.254320000000007</v>
      </c>
      <c r="K40">
        <v>70.472309999999993</v>
      </c>
      <c r="L40">
        <v>76.690290000000005</v>
      </c>
      <c r="M40">
        <f t="shared" si="1"/>
        <v>82.910141979836737</v>
      </c>
    </row>
    <row r="41" spans="1:13" x14ac:dyDescent="0.2">
      <c r="A41">
        <v>18</v>
      </c>
      <c r="B41">
        <v>1</v>
      </c>
      <c r="C41">
        <v>57.940219999999997</v>
      </c>
      <c r="D41">
        <v>0.16011829999999999</v>
      </c>
      <c r="E41" s="3">
        <f t="shared" si="0"/>
        <v>33.197688828754657</v>
      </c>
      <c r="F41">
        <v>39.384709999999998</v>
      </c>
      <c r="G41">
        <v>45.569879999999998</v>
      </c>
      <c r="H41">
        <v>51.755049999999997</v>
      </c>
      <c r="I41">
        <v>57.940219999999997</v>
      </c>
      <c r="J41">
        <v>64.125399999999999</v>
      </c>
      <c r="K41">
        <v>70.310559999999995</v>
      </c>
      <c r="L41">
        <v>76.495739999999998</v>
      </c>
      <c r="M41">
        <f t="shared" si="1"/>
        <v>82.682751171245329</v>
      </c>
    </row>
    <row r="42" spans="1:13" x14ac:dyDescent="0.2">
      <c r="A42">
        <v>18.5</v>
      </c>
      <c r="B42">
        <v>1</v>
      </c>
      <c r="C42">
        <v>57.80498</v>
      </c>
      <c r="D42">
        <v>0.15953529999999999</v>
      </c>
      <c r="E42" s="3">
        <f t="shared" si="0"/>
        <v>33.210079819607408</v>
      </c>
      <c r="F42">
        <v>39.360190000000003</v>
      </c>
      <c r="G42">
        <v>45.508450000000003</v>
      </c>
      <c r="H42">
        <v>51.65672</v>
      </c>
      <c r="I42">
        <v>57.80498</v>
      </c>
      <c r="J42">
        <v>63.953240000000001</v>
      </c>
      <c r="K42">
        <v>70.101500000000001</v>
      </c>
      <c r="L42">
        <v>76.249769999999998</v>
      </c>
      <c r="M42">
        <f t="shared" si="1"/>
        <v>82.3998801803926</v>
      </c>
    </row>
    <row r="43" spans="1:13" x14ac:dyDescent="0.2">
      <c r="A43">
        <v>19</v>
      </c>
      <c r="B43">
        <v>1</v>
      </c>
      <c r="C43">
        <v>57.637250000000002</v>
      </c>
      <c r="D43">
        <v>0.15895229999999999</v>
      </c>
      <c r="E43" s="3">
        <f t="shared" si="0"/>
        <v>33.20333360038228</v>
      </c>
      <c r="F43">
        <v>39.313189999999999</v>
      </c>
      <c r="G43">
        <v>45.421210000000002</v>
      </c>
      <c r="H43">
        <v>51.529229999999998</v>
      </c>
      <c r="I43">
        <v>57.637250000000002</v>
      </c>
      <c r="J43">
        <v>63.745269999999998</v>
      </c>
      <c r="K43">
        <v>69.853290000000001</v>
      </c>
      <c r="L43">
        <v>75.961309999999997</v>
      </c>
      <c r="M43">
        <f t="shared" si="1"/>
        <v>82.071166399617724</v>
      </c>
    </row>
    <row r="44" spans="1:13" x14ac:dyDescent="0.2">
      <c r="A44">
        <v>19.5</v>
      </c>
      <c r="B44">
        <v>1</v>
      </c>
      <c r="C44">
        <v>57.443980000000003</v>
      </c>
      <c r="D44">
        <v>0.15836929999999999</v>
      </c>
      <c r="E44" s="3">
        <f t="shared" si="0"/>
        <v>33.181313140862066</v>
      </c>
      <c r="F44">
        <v>39.248350000000002</v>
      </c>
      <c r="G44">
        <v>45.313560000000003</v>
      </c>
      <c r="H44">
        <v>51.378770000000003</v>
      </c>
      <c r="I44">
        <v>57.443980000000003</v>
      </c>
      <c r="J44">
        <v>63.509189999999997</v>
      </c>
      <c r="K44">
        <v>69.574389999999994</v>
      </c>
      <c r="L44">
        <v>75.639600000000002</v>
      </c>
      <c r="M44">
        <f t="shared" si="1"/>
        <v>81.706646859137933</v>
      </c>
    </row>
    <row r="45" spans="1:13" x14ac:dyDescent="0.2">
      <c r="A45">
        <v>20</v>
      </c>
      <c r="B45">
        <v>1</v>
      </c>
      <c r="C45">
        <v>57.23104</v>
      </c>
      <c r="D45">
        <v>0.15778619999999999</v>
      </c>
      <c r="E45" s="3">
        <f t="shared" si="0"/>
        <v>33.147314380830792</v>
      </c>
      <c r="F45">
        <v>39.169600000000003</v>
      </c>
      <c r="G45">
        <v>45.190080000000002</v>
      </c>
      <c r="H45">
        <v>51.210560000000001</v>
      </c>
      <c r="I45">
        <v>57.23104</v>
      </c>
      <c r="J45">
        <v>63.251530000000002</v>
      </c>
      <c r="K45">
        <v>69.272009999999995</v>
      </c>
      <c r="L45">
        <v>75.292490000000001</v>
      </c>
      <c r="M45">
        <f t="shared" si="1"/>
        <v>81.314765619169208</v>
      </c>
    </row>
    <row r="46" spans="1:13" x14ac:dyDescent="0.2">
      <c r="A46">
        <v>20.5</v>
      </c>
      <c r="B46">
        <v>1</v>
      </c>
      <c r="C46">
        <v>57.005600000000001</v>
      </c>
      <c r="D46">
        <v>0.15720319999999999</v>
      </c>
      <c r="E46" s="3">
        <f t="shared" si="0"/>
        <v>33.105378877967361</v>
      </c>
      <c r="F46">
        <v>39.081780000000002</v>
      </c>
      <c r="G46">
        <v>45.05639</v>
      </c>
      <c r="H46">
        <v>51.030990000000003</v>
      </c>
      <c r="I46">
        <v>57.005600000000001</v>
      </c>
      <c r="J46">
        <v>62.98021</v>
      </c>
      <c r="K46">
        <v>68.954819999999998</v>
      </c>
      <c r="L46">
        <v>74.929419999999993</v>
      </c>
      <c r="M46">
        <f t="shared" si="1"/>
        <v>80.905821122032648</v>
      </c>
    </row>
    <row r="47" spans="1:13" x14ac:dyDescent="0.2">
      <c r="A47">
        <v>21</v>
      </c>
      <c r="B47">
        <v>1</v>
      </c>
      <c r="C47">
        <v>56.77317</v>
      </c>
      <c r="D47">
        <v>0.15662019999999999</v>
      </c>
      <c r="E47" s="3">
        <f t="shared" si="0"/>
        <v>33.058672084829325</v>
      </c>
      <c r="F47">
        <v>38.988630000000001</v>
      </c>
      <c r="G47">
        <v>44.916809999999998</v>
      </c>
      <c r="H47">
        <v>50.844990000000003</v>
      </c>
      <c r="I47">
        <v>56.77317</v>
      </c>
      <c r="J47">
        <v>62.701349999999998</v>
      </c>
      <c r="K47">
        <v>68.629519999999999</v>
      </c>
      <c r="L47">
        <v>74.557699999999997</v>
      </c>
      <c r="M47">
        <f t="shared" si="1"/>
        <v>80.487667915170675</v>
      </c>
    </row>
    <row r="48" spans="1:13" x14ac:dyDescent="0.2">
      <c r="A48">
        <v>21.5</v>
      </c>
      <c r="B48">
        <v>1</v>
      </c>
      <c r="C48">
        <v>56.5383</v>
      </c>
      <c r="D48">
        <v>0.15603719999999999</v>
      </c>
      <c r="E48" s="3">
        <f t="shared" si="0"/>
        <v>33.009817907965079</v>
      </c>
      <c r="F48">
        <v>38.893259999999998</v>
      </c>
      <c r="G48">
        <v>44.774940000000001</v>
      </c>
      <c r="H48">
        <v>50.656619999999997</v>
      </c>
      <c r="I48">
        <v>56.5383</v>
      </c>
      <c r="J48">
        <v>62.419980000000002</v>
      </c>
      <c r="K48">
        <v>68.301659999999998</v>
      </c>
      <c r="L48">
        <v>74.183329999999998</v>
      </c>
      <c r="M48">
        <f t="shared" si="1"/>
        <v>80.066782092034913</v>
      </c>
    </row>
    <row r="49" spans="1:13" x14ac:dyDescent="0.2">
      <c r="A49">
        <v>22</v>
      </c>
      <c r="B49">
        <v>1</v>
      </c>
      <c r="C49">
        <v>56.30489</v>
      </c>
      <c r="D49">
        <v>0.15545419999999999</v>
      </c>
      <c r="E49" s="3">
        <f t="shared" si="0"/>
        <v>32.961088040021657</v>
      </c>
      <c r="F49">
        <v>38.798360000000002</v>
      </c>
      <c r="G49">
        <v>44.633870000000002</v>
      </c>
      <c r="H49">
        <v>50.469380000000001</v>
      </c>
      <c r="I49">
        <v>56.30489</v>
      </c>
      <c r="J49">
        <v>62.1404</v>
      </c>
      <c r="K49">
        <v>67.975909999999999</v>
      </c>
      <c r="L49">
        <v>73.811419999999998</v>
      </c>
      <c r="M49">
        <f t="shared" si="1"/>
        <v>79.64869195997835</v>
      </c>
    </row>
    <row r="50" spans="1:13" x14ac:dyDescent="0.2">
      <c r="A50">
        <v>22.5</v>
      </c>
      <c r="B50">
        <v>1</v>
      </c>
      <c r="C50">
        <v>56.072789999999998</v>
      </c>
      <c r="D50">
        <v>0.15487110000000001</v>
      </c>
      <c r="E50" s="3">
        <f t="shared" si="0"/>
        <v>32.91241620212687</v>
      </c>
      <c r="F50">
        <v>38.703809999999997</v>
      </c>
      <c r="G50">
        <v>44.493470000000002</v>
      </c>
      <c r="H50">
        <v>50.28313</v>
      </c>
      <c r="I50">
        <v>56.072789999999998</v>
      </c>
      <c r="J50">
        <v>61.862450000000003</v>
      </c>
      <c r="K50">
        <v>67.652109999999993</v>
      </c>
      <c r="L50">
        <v>73.441770000000005</v>
      </c>
      <c r="M50">
        <f t="shared" si="1"/>
        <v>79.233163797873118</v>
      </c>
    </row>
    <row r="51" spans="1:13" x14ac:dyDescent="0.2">
      <c r="A51">
        <v>23</v>
      </c>
      <c r="B51">
        <v>1</v>
      </c>
      <c r="C51">
        <v>55.839799999999997</v>
      </c>
      <c r="D51">
        <v>0.15428810000000001</v>
      </c>
      <c r="E51" s="3">
        <f t="shared" si="0"/>
        <v>32.862483804104535</v>
      </c>
      <c r="F51">
        <v>38.6081</v>
      </c>
      <c r="G51">
        <v>44.35201</v>
      </c>
      <c r="H51">
        <v>50.0959</v>
      </c>
      <c r="I51">
        <v>55.839799999999997</v>
      </c>
      <c r="J51">
        <v>61.5837</v>
      </c>
      <c r="K51">
        <v>67.327600000000004</v>
      </c>
      <c r="L51">
        <v>73.0715</v>
      </c>
      <c r="M51">
        <f t="shared" si="1"/>
        <v>78.817116195895451</v>
      </c>
    </row>
    <row r="52" spans="1:13" x14ac:dyDescent="0.2">
      <c r="A52">
        <v>23.5</v>
      </c>
      <c r="B52">
        <v>1</v>
      </c>
      <c r="C52">
        <v>55.606319999999997</v>
      </c>
      <c r="D52">
        <v>0.15370510000000001</v>
      </c>
      <c r="E52" s="3">
        <f t="shared" si="0"/>
        <v>32.811537738389255</v>
      </c>
      <c r="F52">
        <v>38.511519999999997</v>
      </c>
      <c r="G52">
        <v>44.209789999999998</v>
      </c>
      <c r="H52">
        <v>49.908050000000003</v>
      </c>
      <c r="I52">
        <v>55.606319999999997</v>
      </c>
      <c r="J52">
        <v>61.304589999999997</v>
      </c>
      <c r="K52">
        <v>67.002859999999998</v>
      </c>
      <c r="L52">
        <v>72.701130000000006</v>
      </c>
      <c r="M52">
        <f t="shared" si="1"/>
        <v>78.401102261610745</v>
      </c>
    </row>
    <row r="53" spans="1:13" x14ac:dyDescent="0.2">
      <c r="A53">
        <v>24</v>
      </c>
      <c r="B53">
        <v>1</v>
      </c>
      <c r="C53">
        <v>55.372250000000001</v>
      </c>
      <c r="D53">
        <v>0.15312210000000001</v>
      </c>
      <c r="E53" s="3">
        <f t="shared" si="0"/>
        <v>32.759516556999422</v>
      </c>
      <c r="F53">
        <v>38.413969999999999</v>
      </c>
      <c r="G53">
        <v>44.06673</v>
      </c>
      <c r="H53">
        <v>49.71949</v>
      </c>
      <c r="I53">
        <v>55.372250000000001</v>
      </c>
      <c r="J53">
        <v>61.025010000000002</v>
      </c>
      <c r="K53">
        <v>66.677760000000006</v>
      </c>
      <c r="L53">
        <v>72.330520000000007</v>
      </c>
      <c r="M53">
        <f t="shared" si="1"/>
        <v>77.984983443000573</v>
      </c>
    </row>
  </sheetData>
  <phoneticPr fontId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Male SBP</vt:lpstr>
      <vt:lpstr>Female SBP</vt:lpstr>
      <vt:lpstr>Male DBP</vt:lpstr>
      <vt:lpstr>Female DBP</vt:lpstr>
      <vt:lpstr>Male MAP</vt:lpstr>
      <vt:lpstr>Female MAP</vt:lpstr>
      <vt:lpstr>Male PP</vt:lpstr>
      <vt:lpstr>Female PP</vt:lpstr>
    </vt:vector>
  </TitlesOfParts>
  <Company>Institute of Child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Cole</dc:creator>
  <cp:lastModifiedBy>Tim Cole</cp:lastModifiedBy>
  <dcterms:created xsi:type="dcterms:W3CDTF">2002-10-18T09:02:56Z</dcterms:created>
  <dcterms:modified xsi:type="dcterms:W3CDTF">2026-09-22T10:56:40Z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1404782350</vt:i4>
  </property>
  <property fmtid="{D5CDD505-2E9C-101B-9397-08002B2CF9AE}" pid="3" name="_EmailSubject">
    <vt:lpwstr>Centile data</vt:lpwstr>
  </property>
  <property fmtid="{D5CDD505-2E9C-101B-9397-08002B2CF9AE}" pid="4" name="_AuthorEmail">
    <vt:lpwstr>nanduthalange@waitrose.com</vt:lpwstr>
  </property>
  <property fmtid="{D5CDD505-2E9C-101B-9397-08002B2CF9AE}" pid="5" name="_AuthorEmailDisplayName">
    <vt:lpwstr>Dr Nandu KS Thalange</vt:lpwstr>
  </property>
</Properties>
</file>